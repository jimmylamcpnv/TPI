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k74hjc\Desktop\TPI\Documents\"/>
    </mc:Choice>
  </mc:AlternateContent>
  <xr:revisionPtr revIDLastSave="0" documentId="13_ncr:1_{36174463-D009-48CC-AF56-F89C73B040EF}" xr6:coauthVersionLast="47" xr6:coauthVersionMax="47" xr10:uidLastSave="{00000000-0000-0000-0000-000000000000}"/>
  <bookViews>
    <workbookView xWindow="-120" yWindow="-120" windowWidth="29040" windowHeight="15720" tabRatio="500" firstSheet="2" activeTab="4" xr2:uid="{00000000-000D-0000-FFFF-FFFF00000000}"/>
  </bookViews>
  <sheets>
    <sheet name="Semaine 1" sheetId="2" r:id="rId1"/>
    <sheet name="Semaine 2" sheetId="3" r:id="rId2"/>
    <sheet name="Semaine 3" sheetId="4" r:id="rId3"/>
    <sheet name="Semaine 4" sheetId="5" r:id="rId4"/>
    <sheet name="Semaine 5" sheetId="6" r:id="rId5"/>
  </sheets>
  <definedNames>
    <definedName name="_xlnm.Print_Area" localSheetId="2">'Semaine 3'!$A$1:$F$43</definedName>
    <definedName name="_xlnm.Print_Area" localSheetId="3">'Semaine 4'!$A$1:$F$26</definedName>
    <definedName name="_xlnm.Print_Area" localSheetId="4">'Semaine 5'!$A$1:$F$21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  <c r="C20" i="6"/>
  <c r="C16" i="6"/>
  <c r="C17" i="6"/>
  <c r="C18" i="6"/>
  <c r="C16" i="5"/>
  <c r="C17" i="5"/>
  <c r="C18" i="5"/>
  <c r="C19" i="5"/>
  <c r="C20" i="5"/>
  <c r="C21" i="5"/>
  <c r="C11" i="5"/>
  <c r="C5" i="5"/>
  <c r="C6" i="5"/>
  <c r="C7" i="5"/>
  <c r="C8" i="5"/>
  <c r="C9" i="5"/>
  <c r="C10" i="5"/>
  <c r="C15" i="4"/>
  <c r="C20" i="3"/>
  <c r="C10" i="2"/>
  <c r="C6" i="2"/>
  <c r="C7" i="2"/>
  <c r="C8" i="2"/>
  <c r="C9" i="2"/>
  <c r="C30" i="6"/>
  <c r="C29" i="6"/>
  <c r="C28" i="6"/>
  <c r="C27" i="6"/>
  <c r="C26" i="6"/>
  <c r="C25" i="6"/>
  <c r="C15" i="6"/>
  <c r="C10" i="6"/>
  <c r="C9" i="6"/>
  <c r="C8" i="6"/>
  <c r="C7" i="6"/>
  <c r="C6" i="6"/>
  <c r="C5" i="6"/>
  <c r="C40" i="4"/>
  <c r="C39" i="4"/>
  <c r="C38" i="4"/>
  <c r="C37" i="4"/>
  <c r="C36" i="4"/>
  <c r="C35" i="4"/>
  <c r="C30" i="4"/>
  <c r="C29" i="4"/>
  <c r="C28" i="4"/>
  <c r="C27" i="4"/>
  <c r="C26" i="4"/>
  <c r="C25" i="4"/>
  <c r="C20" i="4"/>
  <c r="C19" i="4"/>
  <c r="C18" i="4"/>
  <c r="C17" i="4"/>
  <c r="C16" i="4"/>
  <c r="C10" i="4"/>
  <c r="C9" i="4"/>
  <c r="C8" i="4"/>
  <c r="C7" i="4"/>
  <c r="C6" i="4"/>
  <c r="C5" i="4"/>
  <c r="C41" i="3"/>
  <c r="C40" i="3"/>
  <c r="C39" i="3"/>
  <c r="C38" i="3"/>
  <c r="C37" i="3"/>
  <c r="C36" i="3"/>
  <c r="C31" i="3"/>
  <c r="C30" i="3"/>
  <c r="C29" i="3"/>
  <c r="C28" i="3"/>
  <c r="C27" i="3"/>
  <c r="C26" i="3"/>
  <c r="C21" i="3"/>
  <c r="C19" i="3"/>
  <c r="C18" i="3"/>
  <c r="C17" i="3"/>
  <c r="C16" i="3"/>
  <c r="C15" i="3"/>
  <c r="C10" i="3"/>
  <c r="C9" i="3"/>
  <c r="C8" i="3"/>
  <c r="C7" i="3"/>
  <c r="C6" i="3"/>
  <c r="C5" i="3"/>
  <c r="C20" i="2"/>
  <c r="C19" i="2"/>
  <c r="C18" i="2"/>
  <c r="C17" i="2"/>
  <c r="C16" i="2"/>
  <c r="C15" i="2"/>
  <c r="C21" i="2" s="1"/>
  <c r="C5" i="2"/>
  <c r="C21" i="6" l="1"/>
  <c r="C11" i="6"/>
  <c r="C12" i="5"/>
  <c r="C22" i="5"/>
  <c r="C41" i="4"/>
  <c r="C31" i="4"/>
  <c r="C21" i="4"/>
  <c r="C11" i="4"/>
  <c r="C32" i="3"/>
  <c r="C22" i="3"/>
  <c r="C11" i="2"/>
  <c r="C23" i="2" s="1"/>
  <c r="C42" i="3"/>
  <c r="C11" i="3"/>
  <c r="C31" i="6"/>
  <c r="C33" i="6" l="1"/>
  <c r="C26" i="5"/>
  <c r="C43" i="4"/>
  <c r="C44" i="3"/>
</calcChain>
</file>

<file path=xl/sharedStrings.xml><?xml version="1.0" encoding="utf-8"?>
<sst xmlns="http://schemas.openxmlformats.org/spreadsheetml/2006/main" count="299" uniqueCount="123">
  <si>
    <t>TPI - Journal de travail | Semaine 1 - Jeudi 23 - Vendredi 24 avril 2026</t>
  </si>
  <si>
    <t>H debut</t>
  </si>
  <si>
    <t>H fin</t>
  </si>
  <si>
    <t>H effectives</t>
  </si>
  <si>
    <t>Categorie</t>
  </si>
  <si>
    <t>Tache realisee</t>
  </si>
  <si>
    <t>Remarques</t>
  </si>
  <si>
    <t>Total du jour</t>
  </si>
  <si>
    <t>Ve 24.04.2026 - Vendredi</t>
  </si>
  <si>
    <t>TOTAL DE LA SEMAINE</t>
  </si>
  <si>
    <t>TPI - Journal de travail | Semaine 2 - Lundi 27 avril - Vendredi 1er mai 2026</t>
  </si>
  <si>
    <t>Lu 27.04.2026 - Lundi</t>
  </si>
  <si>
    <t>Ma 28.04.2026 - Mardi</t>
  </si>
  <si>
    <t>Je 30.04.2026 - Jeudi</t>
  </si>
  <si>
    <t>Ve 01.05.2026 - Vendredi</t>
  </si>
  <si>
    <t>TPI - Journal de travail | Semaine 3 - Lundi 4 - Vendredi 8 mai 2026</t>
  </si>
  <si>
    <t>Lu 04.05.2026 - Lundi</t>
  </si>
  <si>
    <t>Ma 05.05.2026 - Mardi</t>
  </si>
  <si>
    <t>Je 07.05.2026 - Jeudi</t>
  </si>
  <si>
    <t>Ve 08.05.2026 - Vendredi</t>
  </si>
  <si>
    <t>TPI - Journal de travail | Semaine 4 - Lundi 11 - Vendredi 15 mai 2026 (semaine reduite)</t>
  </si>
  <si>
    <t>Lu 11.05.2026 - Lundi</t>
  </si>
  <si>
    <t>Ma 12.05.2026 - Mardi</t>
  </si>
  <si>
    <t>Je 14.05.2026 - Jeudi - Conge</t>
  </si>
  <si>
    <t>Ve 15.05.2026 - Vendredi - Conge</t>
  </si>
  <si>
    <t>TPI - Journal de travail | Semaine 5 - Lundi 18 - Jeudi 21 mai 2026 (fin du TPI)</t>
  </si>
  <si>
    <t>Lu 18.05.2026 - Lundi</t>
  </si>
  <si>
    <t>Ma 19.05.2026 - Mardi</t>
  </si>
  <si>
    <r>
      <t xml:space="preserve">Je 21.05.2026 - </t>
    </r>
    <r>
      <rPr>
        <b/>
        <sz val="10"/>
        <color rgb="FFFFFFFF"/>
        <rFont val="Arial"/>
        <family val="2"/>
      </rPr>
      <t>Jeudi</t>
    </r>
  </si>
  <si>
    <t>Entretien</t>
  </si>
  <si>
    <t>Plannification</t>
  </si>
  <si>
    <t>Entretien avec l'expert Bernard Oberson pour la distribution du cahier des charges, prise de connaissance de ce dernier</t>
  </si>
  <si>
    <t>Brainstorming sur quelle méthode de plannification va etre choisie, quelles sont les fonctionnalités a développé globalement.</t>
  </si>
  <si>
    <t>Créeation du fichier excel et réflexion sur combien de temps pourraient prendre l'implémentation des fonctionnalités</t>
  </si>
  <si>
    <t>Remplissage du planning avec les fonctionnalités a implémenter</t>
  </si>
  <si>
    <t>Mail</t>
  </si>
  <si>
    <t>Envoie de la plannification initial aux experts ainsi qu'au chef de projet par mail.</t>
  </si>
  <si>
    <t>Je suis arrivé en retard à cause d'un grave accident sur la route.</t>
  </si>
  <si>
    <t>Analyse</t>
  </si>
  <si>
    <t xml:space="preserve">Rédaction des retours des experts par rapport à la plannification initial </t>
  </si>
  <si>
    <t>Correction des dates de la plannification initial ainsi que la visites des experts</t>
  </si>
  <si>
    <t>Journal de travail</t>
  </si>
  <si>
    <t>Documentation</t>
  </si>
  <si>
    <t xml:space="preserve">Création de la documentation et rédaction des points : resumé, introduction &amp; contexte du projet </t>
  </si>
  <si>
    <t>Création du journal de travail, rédaction de ce dernier</t>
  </si>
  <si>
    <t>Envoie du rendu du vendredi du lien github par mail.</t>
  </si>
  <si>
    <t>Rédaction de la documentation sur le point "Analyse des besoins" et délimitation du projet</t>
  </si>
  <si>
    <t>Création des "chapitres" de la documentation. Création de la table des matières</t>
  </si>
  <si>
    <t>Remplissage du journal de travail de ce matin</t>
  </si>
  <si>
    <t>Conception</t>
  </si>
  <si>
    <t>Création du schéma entité-relation sur draw.io (tables, attributs, relations entre entités)</t>
  </si>
  <si>
    <t>Création du diagramme de flux de l'application sur draw.io (flux d'authentification, dashboards, actions utilisateur)</t>
  </si>
  <si>
    <t>Rédaction des exigences fonctionnelles (EF-01 à EF-06) dans la documentation</t>
  </si>
  <si>
    <t>Rédaction des exigences non fonctionnelles (ENF-01) dans la documentation</t>
  </si>
  <si>
    <t>Amélioration du diagramme de flux sur draw.io, séparation des dashboards Admin et Utilisateur standard</t>
  </si>
  <si>
    <t>Création des maquettes (wireframes) de l'application avec l'aide de l'IA</t>
  </si>
  <si>
    <t>Rédaction de la déclaration d'utilisation de l'IA et structuration des annexes (glossaire, dépôt Git, sources)</t>
  </si>
  <si>
    <t>Remplissage du journal de travail</t>
  </si>
  <si>
    <t>Envoi du rendu du mardi aux experts et au chef de projet par mail</t>
  </si>
  <si>
    <t>Mail de rendu</t>
  </si>
  <si>
    <t>Amélioration de la maquette UI/UX</t>
  </si>
  <si>
    <t>Lecture de la documentation Supabase et streamlit pour la reprise (pour me rafraichir la mémoire)</t>
  </si>
  <si>
    <t>Implémentation</t>
  </si>
  <si>
    <t>Initialisation de la connexion Supabase</t>
  </si>
  <si>
    <t>L'interface Supabase a changé, la configuration a pris plus de temps que prévu</t>
  </si>
  <si>
    <t>Création de la structure des fichiers du projet</t>
  </si>
  <si>
    <t>Revue du fonctionnement de Streamlit et tests de composants</t>
  </si>
  <si>
    <t>Visionnage de vidéos YouTube sur l'intégration Supabase avec Python (authentification, requêtes)</t>
  </si>
  <si>
    <t>Prise de notes et réflexion sur la structure des pages Streamlit à implémenter</t>
  </si>
  <si>
    <t>Push du repo github, relecture et envoie du mail de rendu</t>
  </si>
  <si>
    <t>Je suis arrivé en retard car je me suis rendormi</t>
  </si>
  <si>
    <t>Correction des imports / renommage fichiers</t>
  </si>
  <si>
    <t>Système d'authentification (bcrypt, session, cookies, role), ajout des utilisateurs dans la db</t>
  </si>
  <si>
    <t>Développement de la structure de base de la page equipments.py : header avec titre, colonnes, boutons d'action (CSV, Scan, Add device)</t>
  </si>
  <si>
    <t>Développement du formulaire d'ajout manuel via st.dialog : 10 champs de saisie, soumission avec gestion d'erreur try/except. Débogage de l'erreur de virgules trailing (tuples Python au lieu de strings)</t>
  </si>
  <si>
    <t>Débogage de l'erreur de type integer côté Supabase : correction de la conversion des champs optionnels vides en None (warranty_months, assigned_user_id, purchase_date)</t>
  </si>
  <si>
    <t>Développement de la barre de filtres (type, statut, tri warranty) et du bouton Reset. Implémentation de la logique de filtrage cumulatif par list comprehension</t>
  </si>
  <si>
    <t>Développement du dashboard : métriques par statut avec st.metric, graphique à barres (répartition par type) et diagramme circulaire (répartition par statut) avec Plotly Express</t>
  </si>
  <si>
    <t>Développement de l'affichage des équipements : cards HTML custom via st.markdown avec badges de statut colorés dynamiquement selon un dictionnaire de couleurs</t>
  </si>
  <si>
    <t>Rédaction des sections front-end, back-end, concept de rôles et authentification dans la documentation TPI</t>
  </si>
  <si>
    <t>Je 23.04.2026 - Jeudi</t>
  </si>
  <si>
    <t>Gestion des équipements : implémentation du reset des filtres avec session_state et correction des selectbox</t>
  </si>
  <si>
    <t>Gestion des équipements : création des cards cliquables avec st.columns et bouton info par device</t>
  </si>
  <si>
    <t>Gestion des équipements : implémentation du dialog show_device_info et correction de bugs (TypeError, len())</t>
  </si>
  <si>
    <t xml:space="preserve">Modification et amélioration de la fonction global search pour les équipements dans la database. </t>
  </si>
  <si>
    <t>Gestion des équipements : implémentation deglobal search avec text_input et requête .or_() sur Supabase</t>
  </si>
  <si>
    <t>Revue</t>
  </si>
  <si>
    <t>Discussion avec le chef de projet pour voir si tout allait bien ou non.</t>
  </si>
  <si>
    <t>Dashboard : implémentation des métriques, graphiques Plotly et cards HTML pour équipements et utilisateurs</t>
  </si>
  <si>
    <t>Navigation : correction erreur st.page_link pour rôle standard et affichage du username connecté dans la sidebar</t>
  </si>
  <si>
    <t>Rédaction des sources et références (annexes) et complétion du journal de travail</t>
  </si>
  <si>
    <t>Modification des fonctions get user info et correction des bugs d'affichage du nombre de users affichés.</t>
  </si>
  <si>
    <t>Développement</t>
  </si>
  <si>
    <t>Analyse et amélioration de la fonction update_user : passage au filtrage par id immuable, ajout d'une valeur de retour et d'une gestion d'erreur explicite</t>
  </si>
  <si>
    <t>Débogage</t>
  </si>
  <si>
    <t>Identification du bug TypeError 'list indices must be integers or slices, not str' dans db_users.py : retour Supabase sous forme de liste même pour un seul résultat</t>
  </si>
  <si>
    <t>Correction du bug via user[0]["id"] et du passage incorrect de new_username dans edit_user() (pages/users.py), tests de validation des corrections</t>
  </si>
  <si>
    <t>Remplissage du journal de travail de la matinée</t>
  </si>
  <si>
    <t>Visite du 2ème expert : présentation de l'avancement du projet et échanges</t>
  </si>
  <si>
    <t>Correction de la fonction de modification d'un utilisateur (username et role) : gestion du retour liste Supabase, filtrage par id, tests</t>
  </si>
  <si>
    <t>Relecture</t>
  </si>
  <si>
    <t>Amélioration de la page users.py : analyse du flux de données entre la boucle for, show_user_info() et edit_user() via st.session_state</t>
  </si>
  <si>
    <t>Implémentation du bouton de confirmation de suppression d'un utilisateur avec flag dans st.session_state</t>
  </si>
  <si>
    <t>Implémentation du bouton CSV : fonction generate_csv() avec io.StringIO et csv.DictWriter, export des équipements filtrés</t>
  </si>
  <si>
    <t>Correction du bug double bouton CSV causé par st.empty() : déplacement du st.download_button après le bloc de filtres pour accéder à filtred_equipments</t>
  </si>
  <si>
    <t>Remplissage du journal de travail et ajout de commentaires en anglais sur la fonction generate_csv()</t>
  </si>
  <si>
    <t>Relecture du code, de ce qui est fait, de ce qui doit etre fait et des améliorations possibles</t>
  </si>
  <si>
    <t>Amélioration de l'affichage UI de show_device_info : mise en page markdown avec grille 2 colonnes, serial number sous le nom, badge de statut coloré</t>
  </si>
  <si>
    <t>Finalisation de la page equipments.py : tri par garantie via sorted() et relativedelta, affichage des jours restants avec code couleur</t>
  </si>
  <si>
    <t>Implémentation du bouton Reset des filtres via on_click, correction du bug multiselect (list → string), correction sérialisation date (.isoformat())</t>
  </si>
  <si>
    <t>Aide IA : débogage erreurs de type</t>
  </si>
  <si>
    <t>Implémentation de l'export CSV en mémoire via io.StringIO, tests de téléchargement avec filtres actifs</t>
  </si>
  <si>
    <t>Implémentation de la page users.py : affichage, filtres, dialogs add/edit/show, gestion des rôles</t>
  </si>
  <si>
    <t>Mise en place de db_users.py avec hachage bcrypt, tests de création et modification d'utilisateurs</t>
  </si>
  <si>
    <t>Création de utils/logger.py : fonction log_action() centralisée. Intégration dans db_equipements.py (create, update avec détection des champs modifiés, delete)</t>
  </si>
  <si>
    <t>Aide IA : structure du système de logs</t>
  </si>
  <si>
    <t>Intégration des logs dans db_users.py (create_user, update_user, update_password, delete_user). Mise à jour de la contrainte CHECK de la table activity_logs</t>
  </si>
  <si>
    <t>Correction de plusieurs anomalies : user_id null en session (user[0]["id"]), equipment_id manquant dans les logs, double clé étrangère (DROP COLUMN). Implémentation page logs.py</t>
  </si>
  <si>
    <t>Aide IA : débogage erreurs PostgREST</t>
  </si>
  <si>
    <t>Affichage des logs dans les fiches équipement et utilisateur. Tests complets du système de journalisation</t>
  </si>
  <si>
    <t>Rédaction des sections Implémentation (back-end, front-end, journalisation, Git) et Tests (environnement, 20 cas de test, résultats et corrections)</t>
  </si>
  <si>
    <t>Aide IA : rédaction et structuration</t>
  </si>
  <si>
    <t>Rédaction des sections Manuel d'exploitation, Manuel d'utilisation, Conclusion personnelle. Envoi du rendu aux experts et au chef de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</si>
</sst>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1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1E2A38"/>
      <name val="Arial"/>
      <charset val="1"/>
    </font>
    <font>
      <b/>
      <sz val="10"/>
      <color rgb="FF1A7FA1"/>
      <name val="Arial"/>
      <charset val="1"/>
    </font>
    <font>
      <b/>
      <sz val="12"/>
      <color rgb="FF1A7FA1"/>
      <name val="Arial"/>
      <charset val="1"/>
    </font>
    <font>
      <i/>
      <sz val="9"/>
      <color rgb="FF922B21"/>
      <name val="Arial"/>
      <charset val="1"/>
    </font>
    <font>
      <b/>
      <sz val="10"/>
      <color rgb="FFFFFFFF"/>
      <name val="Arial"/>
      <family val="2"/>
    </font>
    <font>
      <sz val="10"/>
      <color rgb="FF1E2A38"/>
      <name val="Arial"/>
      <family val="2"/>
    </font>
    <font>
      <sz val="8"/>
      <name val="Calibri"/>
      <family val="2"/>
      <charset val="1"/>
    </font>
    <font>
      <b/>
      <sz val="10"/>
      <color rgb="FF1A7FA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E2A38"/>
        <bgColor rgb="FF253444"/>
      </patternFill>
    </fill>
    <fill>
      <patternFill patternType="solid">
        <fgColor rgb="FF2E86AB"/>
        <bgColor rgb="FF1A7FA1"/>
      </patternFill>
    </fill>
    <fill>
      <patternFill patternType="solid">
        <fgColor rgb="FFFFFDE7"/>
        <bgColor rgb="FFFFFFFF"/>
      </patternFill>
    </fill>
    <fill>
      <patternFill patternType="solid">
        <fgColor rgb="FFEAF4FB"/>
        <bgColor rgb="FFECF0F1"/>
      </patternFill>
    </fill>
    <fill>
      <patternFill patternType="solid">
        <fgColor rgb="FFECF0F1"/>
        <bgColor rgb="FFEAF4FB"/>
      </patternFill>
    </fill>
    <fill>
      <patternFill patternType="solid">
        <fgColor rgb="FFFADBD8"/>
        <bgColor rgb="FFECF0F1"/>
      </patternFill>
    </fill>
    <fill>
      <patternFill patternType="solid">
        <fgColor rgb="FFFFFDE7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3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7" fillId="5" borderId="3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 wrapText="1"/>
    </xf>
    <xf numFmtId="21" fontId="5" fillId="4" borderId="1" xfId="0" applyNumberFormat="1" applyFont="1" applyFill="1" applyBorder="1" applyAlignment="1">
      <alignment horizontal="center" vertical="center"/>
    </xf>
    <xf numFmtId="20" fontId="10" fillId="4" borderId="4" xfId="0" applyNumberFormat="1" applyFont="1" applyFill="1" applyBorder="1" applyAlignment="1">
      <alignment horizontal="center" vertical="center"/>
    </xf>
    <xf numFmtId="20" fontId="10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20" fontId="10" fillId="8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0" fillId="6" borderId="0" xfId="0" applyFill="1"/>
    <xf numFmtId="0" fontId="3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A1"/>
      <rgbColor rgb="FFBDC3C7"/>
      <rgbColor rgb="FF888888"/>
      <rgbColor rgb="FF9999FF"/>
      <rgbColor rgb="FF993366"/>
      <rgbColor rgb="FFFFFDE7"/>
      <rgbColor rgb="FFD6EAF8"/>
      <rgbColor rgb="FF660066"/>
      <rgbColor rgb="FFFF8080"/>
      <rgbColor rgb="FF0066CC"/>
      <rgbColor rgb="FFF4F9FF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EAF4FB"/>
      <rgbColor rgb="FFD5F5E3"/>
      <rgbColor rgb="FFECF0F1"/>
      <rgbColor rgb="FFAACCEE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2AA198"/>
      <rgbColor rgb="FF003300"/>
      <rgbColor rgb="FF1E2A38"/>
      <rgbColor rgb="FF922B21"/>
      <rgbColor rgb="FF993366"/>
      <rgbColor rgb="FF333399"/>
      <rgbColor rgb="FF253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zoomScaleNormal="100" workbookViewId="0">
      <selection activeCell="E15" sqref="E15"/>
    </sheetView>
  </sheetViews>
  <sheetFormatPr baseColWidth="10" defaultColWidth="8.7109375" defaultRowHeight="15" x14ac:dyDescent="0.25"/>
  <cols>
    <col min="1" max="1" width="16.5703125" customWidth="1"/>
    <col min="2" max="2" width="12.140625" customWidth="1"/>
    <col min="3" max="3" width="10.5703125" bestFit="1" customWidth="1"/>
    <col min="4" max="4" width="14.7109375" bestFit="1" customWidth="1"/>
    <col min="5" max="5" width="56.140625" customWidth="1"/>
    <col min="6" max="6" width="32" customWidth="1"/>
  </cols>
  <sheetData>
    <row r="1" spans="1:6" ht="33.75" customHeight="1" x14ac:dyDescent="0.25">
      <c r="A1" s="25" t="s">
        <v>0</v>
      </c>
      <c r="B1" s="25"/>
      <c r="C1" s="25"/>
      <c r="D1" s="25"/>
      <c r="E1" s="25"/>
      <c r="F1" s="25"/>
    </row>
    <row r="3" spans="1:6" x14ac:dyDescent="0.25">
      <c r="A3" s="24" t="s">
        <v>80</v>
      </c>
      <c r="B3" s="24"/>
      <c r="C3" s="24"/>
      <c r="D3" s="24"/>
      <c r="E3" s="24"/>
      <c r="F3" s="24"/>
    </row>
    <row r="4" spans="1:6" ht="19.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25.5" x14ac:dyDescent="0.25">
      <c r="A5" s="9">
        <v>0.35416666666666669</v>
      </c>
      <c r="B5" s="9">
        <v>0.375</v>
      </c>
      <c r="C5" s="4" t="str">
        <f t="shared" ref="C5:C10" si="0">IF(AND(A5&lt;&gt;"",B5&lt;&gt;""),TEXT(B5-A5,"[h]:mm"),"")</f>
        <v>0:30</v>
      </c>
      <c r="D5" s="10" t="s">
        <v>29</v>
      </c>
      <c r="E5" s="11" t="s">
        <v>31</v>
      </c>
      <c r="F5" s="11" t="s">
        <v>37</v>
      </c>
    </row>
    <row r="6" spans="1:6" ht="25.5" x14ac:dyDescent="0.25">
      <c r="A6" s="9">
        <v>0.37847222222222221</v>
      </c>
      <c r="B6" s="9">
        <v>0.40972222222222221</v>
      </c>
      <c r="C6" s="4" t="str">
        <f t="shared" si="0"/>
        <v>0:45</v>
      </c>
      <c r="D6" s="10" t="s">
        <v>30</v>
      </c>
      <c r="E6" s="11" t="s">
        <v>32</v>
      </c>
      <c r="F6" s="6"/>
    </row>
    <row r="7" spans="1:6" ht="25.5" x14ac:dyDescent="0.25">
      <c r="A7" s="9">
        <v>0.4201388888888889</v>
      </c>
      <c r="B7" s="9">
        <v>0.44791666666666669</v>
      </c>
      <c r="C7" s="4" t="str">
        <f t="shared" si="0"/>
        <v>0:40</v>
      </c>
      <c r="D7" s="10" t="s">
        <v>30</v>
      </c>
      <c r="E7" s="11" t="s">
        <v>33</v>
      </c>
      <c r="F7" s="6"/>
    </row>
    <row r="8" spans="1:6" x14ac:dyDescent="0.25">
      <c r="A8" s="9">
        <v>0.55555555555555558</v>
      </c>
      <c r="B8" s="9">
        <v>0.62152777777777779</v>
      </c>
      <c r="C8" s="4" t="str">
        <f t="shared" si="0"/>
        <v>1:35</v>
      </c>
      <c r="D8" s="10" t="s">
        <v>30</v>
      </c>
      <c r="E8" s="11" t="s">
        <v>34</v>
      </c>
      <c r="F8" s="6"/>
    </row>
    <row r="9" spans="1:6" x14ac:dyDescent="0.25">
      <c r="A9" s="9">
        <v>0.62847222222222221</v>
      </c>
      <c r="B9" s="9">
        <v>0.68055555555555558</v>
      </c>
      <c r="C9" s="4" t="str">
        <f>IF(AND(A9&lt;&gt;"",B9&lt;&gt;""),TEXT(B9-A9,"[h]:mm"),"")</f>
        <v>1:15</v>
      </c>
      <c r="D9" s="10" t="s">
        <v>30</v>
      </c>
      <c r="E9" s="11" t="s">
        <v>34</v>
      </c>
      <c r="F9" s="6"/>
    </row>
    <row r="10" spans="1:6" ht="25.5" x14ac:dyDescent="0.25">
      <c r="A10" s="9">
        <v>0.68402777777777779</v>
      </c>
      <c r="B10" s="9">
        <v>0.69444444444444442</v>
      </c>
      <c r="C10" s="4" t="str">
        <f t="shared" si="0"/>
        <v>0:15</v>
      </c>
      <c r="D10" s="10" t="s">
        <v>35</v>
      </c>
      <c r="E10" s="11" t="s">
        <v>36</v>
      </c>
      <c r="F10" s="6"/>
    </row>
    <row r="11" spans="1:6" ht="18" customHeight="1" x14ac:dyDescent="0.25">
      <c r="A11" s="21" t="s">
        <v>7</v>
      </c>
      <c r="B11" s="21"/>
      <c r="C11" s="4" t="str">
        <f>TEXT(IF(C5&lt;&gt;"",TIMEVALUE(C5),0)+IF(C6&lt;&gt;"",TIMEVALUE(C6),0)+IF(C7&lt;&gt;"",TIMEVALUE(C7),0)+IF(C8&lt;&gt;"",TIMEVALUE(C8),0)+IF(C9&lt;&gt;"",TIMEVALUE(C9),0)+IF(C10&lt;&gt;"",TIMEVALUE(C10),0),"[h]:mm")</f>
        <v>5:00</v>
      </c>
      <c r="D11" s="7"/>
      <c r="E11" s="7"/>
      <c r="F11" s="7"/>
    </row>
    <row r="12" spans="1:6" x14ac:dyDescent="0.25">
      <c r="A12" s="19"/>
      <c r="B12" s="19"/>
      <c r="C12" s="19"/>
      <c r="D12" s="19"/>
      <c r="E12" s="19"/>
      <c r="F12" s="19"/>
    </row>
    <row r="13" spans="1:6" ht="19.5" customHeight="1" x14ac:dyDescent="0.25">
      <c r="A13" s="24" t="s">
        <v>8</v>
      </c>
      <c r="B13" s="24"/>
      <c r="C13" s="24"/>
      <c r="D13" s="24"/>
      <c r="E13" s="24"/>
      <c r="F13" s="24"/>
    </row>
    <row r="14" spans="1:6" ht="19.5" customHeight="1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25.5" x14ac:dyDescent="0.25">
      <c r="A15" s="9">
        <v>0.34375</v>
      </c>
      <c r="B15" s="9">
        <v>0.35416666666666669</v>
      </c>
      <c r="C15" s="4" t="str">
        <f t="shared" ref="C15:C20" si="1">IF(AND(A15&lt;&gt;"",B15&lt;&gt;""),TEXT(B15-A15,"[h]:mm"),"")</f>
        <v>0:15</v>
      </c>
      <c r="D15" s="10" t="s">
        <v>38</v>
      </c>
      <c r="E15" s="11" t="s">
        <v>39</v>
      </c>
      <c r="F15" s="6"/>
    </row>
    <row r="16" spans="1:6" ht="25.5" x14ac:dyDescent="0.25">
      <c r="A16" s="9">
        <v>0.35416666666666669</v>
      </c>
      <c r="B16" s="9">
        <v>0.375</v>
      </c>
      <c r="C16" s="4" t="str">
        <f t="shared" si="1"/>
        <v>0:30</v>
      </c>
      <c r="D16" s="10" t="s">
        <v>30</v>
      </c>
      <c r="E16" s="11" t="s">
        <v>40</v>
      </c>
      <c r="F16" s="6"/>
    </row>
    <row r="17" spans="1:6" ht="18" customHeight="1" x14ac:dyDescent="0.25">
      <c r="A17" s="9">
        <v>0.375</v>
      </c>
      <c r="B17" s="9">
        <v>0.40972222222222221</v>
      </c>
      <c r="C17" s="4" t="str">
        <f t="shared" si="1"/>
        <v>0:50</v>
      </c>
      <c r="D17" s="10" t="s">
        <v>41</v>
      </c>
      <c r="E17" s="11" t="s">
        <v>44</v>
      </c>
      <c r="F17" s="6"/>
    </row>
    <row r="18" spans="1:6" ht="25.5" x14ac:dyDescent="0.25">
      <c r="A18" s="9">
        <v>0.4201388888888889</v>
      </c>
      <c r="B18" s="9">
        <v>0.51388888888888884</v>
      </c>
      <c r="C18" s="4" t="str">
        <f t="shared" si="1"/>
        <v>2:15</v>
      </c>
      <c r="D18" s="5" t="s">
        <v>42</v>
      </c>
      <c r="E18" s="6" t="s">
        <v>43</v>
      </c>
      <c r="F18" s="6"/>
    </row>
    <row r="19" spans="1:6" ht="18" customHeight="1" x14ac:dyDescent="0.25">
      <c r="A19" s="9">
        <v>0.51388888888888884</v>
      </c>
      <c r="B19" s="9">
        <v>0.52083333333333337</v>
      </c>
      <c r="C19" s="4" t="str">
        <f t="shared" si="1"/>
        <v>0:10</v>
      </c>
      <c r="D19" s="5" t="s">
        <v>59</v>
      </c>
      <c r="E19" s="6" t="s">
        <v>45</v>
      </c>
      <c r="F19" s="6"/>
    </row>
    <row r="20" spans="1:6" ht="18" customHeight="1" x14ac:dyDescent="0.25">
      <c r="A20" s="3"/>
      <c r="B20" s="3"/>
      <c r="C20" s="4" t="str">
        <f t="shared" si="1"/>
        <v/>
      </c>
      <c r="D20" s="5"/>
      <c r="E20" s="6"/>
      <c r="F20" s="6"/>
    </row>
    <row r="21" spans="1:6" ht="18" customHeight="1" x14ac:dyDescent="0.25">
      <c r="A21" s="21" t="s">
        <v>7</v>
      </c>
      <c r="B21" s="21"/>
      <c r="C21" s="4" t="str">
        <f>TEXT(IF(C15&lt;&gt;"",TIMEVALUE(C15),0)+IF(C16&lt;&gt;"",TIMEVALUE(C16),0)+IF(C17&lt;&gt;"",TIMEVALUE(C17),0)+IF(C18&lt;&gt;"",TIMEVALUE(C18),0)+IF(C19&lt;&gt;"",TIMEVALUE(C19),0)+IF(C20&lt;&gt;"",TIMEVALUE(C20),0),"[h]:mm")</f>
        <v>4:00</v>
      </c>
      <c r="D21" s="7"/>
      <c r="E21" s="7"/>
      <c r="F21" s="7"/>
    </row>
    <row r="22" spans="1:6" x14ac:dyDescent="0.25">
      <c r="A22" s="19"/>
      <c r="B22" s="19"/>
      <c r="C22" s="19"/>
      <c r="D22" s="19"/>
      <c r="E22" s="19"/>
      <c r="F22" s="19"/>
    </row>
    <row r="23" spans="1:6" ht="15.75" x14ac:dyDescent="0.25">
      <c r="A23" s="20" t="s">
        <v>9</v>
      </c>
      <c r="B23" s="20"/>
      <c r="C23" s="8" t="str">
        <f>TEXT(IF(C11&lt;&gt;"",TIMEVALUE(C11),0)+IF(C21&lt;&gt;"",TIMEVALUE(C21),0),"[h]:mm")</f>
        <v>9:00</v>
      </c>
      <c r="D23" s="1"/>
      <c r="E23" s="1"/>
      <c r="F23" s="1"/>
    </row>
  </sheetData>
  <mergeCells count="8">
    <mergeCell ref="A21:B21"/>
    <mergeCell ref="A22:F22"/>
    <mergeCell ref="A23:B23"/>
    <mergeCell ref="A1:F1"/>
    <mergeCell ref="A3:F3"/>
    <mergeCell ref="A11:B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showGridLines="0" zoomScaleNormal="100" workbookViewId="0">
      <selection activeCell="D30" sqref="D30"/>
    </sheetView>
  </sheetViews>
  <sheetFormatPr baseColWidth="10" defaultColWidth="8.7109375" defaultRowHeight="15" x14ac:dyDescent="0.25"/>
  <cols>
    <col min="1" max="1" width="13.7109375" customWidth="1"/>
    <col min="2" max="2" width="14.85546875" customWidth="1"/>
    <col min="3" max="3" width="10.5703125" bestFit="1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25" t="s">
        <v>10</v>
      </c>
      <c r="B1" s="25"/>
      <c r="C1" s="25"/>
      <c r="D1" s="25"/>
      <c r="E1" s="25"/>
      <c r="F1" s="25"/>
    </row>
    <row r="3" spans="1:6" ht="19.5" customHeight="1" x14ac:dyDescent="0.25">
      <c r="A3" s="24" t="s">
        <v>11</v>
      </c>
      <c r="B3" s="24"/>
      <c r="C3" s="24"/>
      <c r="D3" s="24"/>
      <c r="E3" s="24"/>
      <c r="F3" s="24"/>
    </row>
    <row r="4" spans="1:6" ht="33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25.5" x14ac:dyDescent="0.25">
      <c r="A5" s="9">
        <v>0.34375</v>
      </c>
      <c r="B5" s="9">
        <v>0.40972222222222221</v>
      </c>
      <c r="C5" s="4" t="str">
        <f t="shared" ref="C5:C10" si="0">IF(AND(A5&lt;&gt;"",B5&lt;&gt;""),TEXT(B5-A5,"[h]:mm"),"")</f>
        <v>1:35</v>
      </c>
      <c r="D5" s="5" t="s">
        <v>42</v>
      </c>
      <c r="E5" s="6" t="s">
        <v>47</v>
      </c>
      <c r="F5" s="6"/>
    </row>
    <row r="6" spans="1:6" ht="25.5" x14ac:dyDescent="0.25">
      <c r="A6" s="9">
        <v>0.4201388888888889</v>
      </c>
      <c r="B6" s="9">
        <v>0.52083333333333337</v>
      </c>
      <c r="C6" s="4" t="str">
        <f t="shared" si="0"/>
        <v>2:25</v>
      </c>
      <c r="D6" s="5" t="s">
        <v>42</v>
      </c>
      <c r="E6" s="6" t="s">
        <v>46</v>
      </c>
      <c r="F6" s="6"/>
    </row>
    <row r="7" spans="1:6" x14ac:dyDescent="0.25">
      <c r="A7" s="9">
        <v>0.55555555555555558</v>
      </c>
      <c r="B7" s="9">
        <v>0.56944444444444442</v>
      </c>
      <c r="C7" s="4" t="str">
        <f t="shared" si="0"/>
        <v>0:20</v>
      </c>
      <c r="D7" s="10" t="s">
        <v>41</v>
      </c>
      <c r="E7" s="6" t="s">
        <v>48</v>
      </c>
      <c r="F7" s="6"/>
    </row>
    <row r="8" spans="1:6" ht="25.5" x14ac:dyDescent="0.25">
      <c r="A8" s="9">
        <v>0.57291666666666663</v>
      </c>
      <c r="B8" s="9">
        <v>0.625</v>
      </c>
      <c r="C8" s="4" t="str">
        <f t="shared" si="0"/>
        <v>1:15</v>
      </c>
      <c r="D8" s="5" t="s">
        <v>49</v>
      </c>
      <c r="E8" s="6" t="s">
        <v>50</v>
      </c>
      <c r="F8" s="6"/>
    </row>
    <row r="9" spans="1:6" ht="25.5" x14ac:dyDescent="0.25">
      <c r="A9" s="9">
        <v>0.62847222222222221</v>
      </c>
      <c r="B9" s="9">
        <v>0.68402777777777779</v>
      </c>
      <c r="C9" s="4" t="str">
        <f t="shared" si="0"/>
        <v>1:20</v>
      </c>
      <c r="D9" s="5" t="s">
        <v>49</v>
      </c>
      <c r="E9" s="6" t="s">
        <v>51</v>
      </c>
      <c r="F9" s="6"/>
    </row>
    <row r="10" spans="1:6" ht="25.5" x14ac:dyDescent="0.25">
      <c r="A10" s="9">
        <v>0.68402777777777779</v>
      </c>
      <c r="B10" s="9">
        <v>0.69444444444444442</v>
      </c>
      <c r="C10" s="4" t="str">
        <f t="shared" si="0"/>
        <v>0:15</v>
      </c>
      <c r="D10" s="5" t="s">
        <v>42</v>
      </c>
      <c r="E10" s="6" t="s">
        <v>52</v>
      </c>
      <c r="F10" s="6"/>
    </row>
    <row r="11" spans="1:6" ht="18" customHeight="1" x14ac:dyDescent="0.25">
      <c r="A11" s="21" t="s">
        <v>7</v>
      </c>
      <c r="B11" s="21"/>
      <c r="C11" s="4" t="str">
        <f>TEXT(IF(C5&lt;&gt;"",TIMEVALUE(C5),0)+IF(C6&lt;&gt;"",TIMEVALUE(C6),0)+IF(C7&lt;&gt;"",TIMEVALUE(C7),0)+IF(C8&lt;&gt;"",TIMEVALUE(C8),0)+IF(C9&lt;&gt;"",TIMEVALUE(C9),0)+IF(C10&lt;&gt;"",TIMEVALUE(C10),0),"[h]:mm")</f>
        <v>7:10</v>
      </c>
      <c r="D11" s="7"/>
      <c r="E11" s="7"/>
      <c r="F11" s="7"/>
    </row>
    <row r="12" spans="1:6" x14ac:dyDescent="0.25">
      <c r="A12" s="19"/>
      <c r="B12" s="19"/>
      <c r="C12" s="19"/>
      <c r="D12" s="19"/>
      <c r="E12" s="19"/>
      <c r="F12" s="19"/>
    </row>
    <row r="13" spans="1:6" ht="19.5" customHeight="1" x14ac:dyDescent="0.25">
      <c r="A13" s="24" t="s">
        <v>12</v>
      </c>
      <c r="B13" s="24"/>
      <c r="C13" s="24"/>
      <c r="D13" s="24"/>
      <c r="E13" s="24"/>
      <c r="F13" s="24"/>
    </row>
    <row r="14" spans="1:6" ht="32.25" customHeight="1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25.5" x14ac:dyDescent="0.25">
      <c r="A15" s="9">
        <v>0.34375</v>
      </c>
      <c r="B15" s="9">
        <v>0.39583333333333331</v>
      </c>
      <c r="C15" s="4" t="str">
        <f t="shared" ref="C15:C21" si="1">IF(AND(A15&lt;&gt;"",B15&lt;&gt;""),TEXT(B15-A15,"[h]:mm"),"")</f>
        <v>1:15</v>
      </c>
      <c r="D15" s="5" t="s">
        <v>42</v>
      </c>
      <c r="E15" s="6" t="s">
        <v>53</v>
      </c>
      <c r="F15" s="6"/>
    </row>
    <row r="16" spans="1:6" ht="25.5" x14ac:dyDescent="0.25">
      <c r="A16" s="9">
        <v>0.39930555555555558</v>
      </c>
      <c r="B16" s="9">
        <v>0.4375</v>
      </c>
      <c r="C16" s="4" t="str">
        <f t="shared" si="1"/>
        <v>0:55</v>
      </c>
      <c r="D16" s="5" t="s">
        <v>49</v>
      </c>
      <c r="E16" s="6" t="s">
        <v>54</v>
      </c>
      <c r="F16" s="6"/>
    </row>
    <row r="17" spans="1:6" ht="25.5" x14ac:dyDescent="0.25">
      <c r="A17" s="9">
        <v>0.44097222222222221</v>
      </c>
      <c r="B17" s="9">
        <v>0.52083333333333337</v>
      </c>
      <c r="C17" s="4" t="str">
        <f t="shared" si="1"/>
        <v>1:55</v>
      </c>
      <c r="D17" s="5" t="s">
        <v>49</v>
      </c>
      <c r="E17" s="6" t="s">
        <v>55</v>
      </c>
      <c r="F17" s="6"/>
    </row>
    <row r="18" spans="1:6" ht="25.5" x14ac:dyDescent="0.25">
      <c r="A18" s="9">
        <v>0.55555555555555558</v>
      </c>
      <c r="B18" s="9">
        <v>0.60416666666666663</v>
      </c>
      <c r="C18" s="4" t="str">
        <f t="shared" si="1"/>
        <v>1:10</v>
      </c>
      <c r="D18" s="5" t="s">
        <v>42</v>
      </c>
      <c r="E18" s="6" t="s">
        <v>56</v>
      </c>
      <c r="F18" s="6"/>
    </row>
    <row r="19" spans="1:6" ht="18" customHeight="1" x14ac:dyDescent="0.25">
      <c r="A19" s="9">
        <v>0.60763888888888884</v>
      </c>
      <c r="B19" s="9">
        <v>0.62152777777777779</v>
      </c>
      <c r="C19" s="4" t="str">
        <f t="shared" si="1"/>
        <v>0:20</v>
      </c>
      <c r="D19" s="5" t="s">
        <v>41</v>
      </c>
      <c r="E19" s="6" t="s">
        <v>57</v>
      </c>
      <c r="F19" s="6"/>
    </row>
    <row r="20" spans="1:6" x14ac:dyDescent="0.25">
      <c r="A20" s="9">
        <v>0.62847222222222221</v>
      </c>
      <c r="B20" s="9">
        <v>0.68055555555555558</v>
      </c>
      <c r="C20" s="4" t="str">
        <f t="shared" si="1"/>
        <v>1:15</v>
      </c>
      <c r="D20" s="5" t="s">
        <v>49</v>
      </c>
      <c r="E20" s="6" t="s">
        <v>60</v>
      </c>
      <c r="F20" s="6"/>
    </row>
    <row r="21" spans="1:6" ht="25.5" x14ac:dyDescent="0.25">
      <c r="A21" s="9">
        <v>0.68402777777777779</v>
      </c>
      <c r="B21" s="9">
        <v>0.69444444444444442</v>
      </c>
      <c r="C21" s="4" t="str">
        <f t="shared" si="1"/>
        <v>0:15</v>
      </c>
      <c r="D21" s="5" t="s">
        <v>59</v>
      </c>
      <c r="E21" s="6" t="s">
        <v>58</v>
      </c>
      <c r="F21" s="6"/>
    </row>
    <row r="22" spans="1:6" ht="18" customHeight="1" x14ac:dyDescent="0.25">
      <c r="A22" s="21" t="s">
        <v>7</v>
      </c>
      <c r="B22" s="21"/>
      <c r="C22" s="4" t="str">
        <f>TEXT(IF(C15&lt;&gt;"",TIMEVALUE(C15),0)+IF(C16&lt;&gt;"",TIMEVALUE(C16),0)+IF(C17&lt;&gt;"",TIMEVALUE(C17),0)+IF(C18&lt;&gt;"",TIMEVALUE(C18),0)+IF(C19&lt;&gt;"",TIMEVALUE(C19),0)+IF(C21&lt;&gt;"",TIMEVALUE(C21),0),"[h]:mm")</f>
        <v>5:50</v>
      </c>
      <c r="D22" s="7"/>
      <c r="E22" s="7"/>
      <c r="F22" s="7"/>
    </row>
    <row r="23" spans="1:6" x14ac:dyDescent="0.25">
      <c r="A23" s="19"/>
      <c r="B23" s="19"/>
      <c r="C23" s="19"/>
      <c r="D23" s="19"/>
      <c r="E23" s="19"/>
      <c r="F23" s="19"/>
    </row>
    <row r="24" spans="1:6" ht="19.5" customHeight="1" x14ac:dyDescent="0.25">
      <c r="A24" s="24" t="s">
        <v>13</v>
      </c>
      <c r="B24" s="24"/>
      <c r="C24" s="24"/>
      <c r="D24" s="24"/>
      <c r="E24" s="24"/>
      <c r="F24" s="24"/>
    </row>
    <row r="25" spans="1:6" ht="31.5" customHeight="1" x14ac:dyDescent="0.2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</row>
    <row r="26" spans="1:6" ht="25.5" x14ac:dyDescent="0.25">
      <c r="A26" s="9">
        <v>0.34375</v>
      </c>
      <c r="B26" s="9">
        <v>0.40972222222222221</v>
      </c>
      <c r="C26" s="4" t="str">
        <f t="shared" ref="C26:C31" si="2">IF(AND(A26&lt;&gt;"",B26&lt;&gt;""),TEXT(B26-A26,"[h]:mm"),"")</f>
        <v>1:35</v>
      </c>
      <c r="D26" s="5" t="s">
        <v>42</v>
      </c>
      <c r="E26" s="6" t="s">
        <v>61</v>
      </c>
      <c r="F26" s="6"/>
    </row>
    <row r="27" spans="1:6" ht="18" customHeight="1" x14ac:dyDescent="0.25">
      <c r="A27" s="9">
        <v>0.4201388888888889</v>
      </c>
      <c r="B27" s="9">
        <v>0.42708333333333331</v>
      </c>
      <c r="C27" s="4" t="str">
        <f t="shared" si="2"/>
        <v>0:10</v>
      </c>
      <c r="D27" s="5" t="s">
        <v>41</v>
      </c>
      <c r="E27" s="6" t="s">
        <v>57</v>
      </c>
      <c r="F27" s="6"/>
    </row>
    <row r="28" spans="1:6" ht="38.25" x14ac:dyDescent="0.25">
      <c r="A28" s="9">
        <v>0.42708333333333331</v>
      </c>
      <c r="B28" s="9">
        <v>0.44791666666666669</v>
      </c>
      <c r="C28" s="4" t="str">
        <f t="shared" si="2"/>
        <v>0:30</v>
      </c>
      <c r="D28" s="5" t="s">
        <v>62</v>
      </c>
      <c r="E28" s="6" t="s">
        <v>63</v>
      </c>
      <c r="F28" s="6" t="s">
        <v>64</v>
      </c>
    </row>
    <row r="29" spans="1:6" ht="18" customHeight="1" x14ac:dyDescent="0.25">
      <c r="A29" s="9">
        <v>0.55555555555555558</v>
      </c>
      <c r="B29" s="9">
        <v>0.69444444444444442</v>
      </c>
      <c r="C29" s="4" t="str">
        <f t="shared" si="2"/>
        <v>3:20</v>
      </c>
      <c r="D29" s="5" t="s">
        <v>62</v>
      </c>
      <c r="E29" s="6" t="s">
        <v>65</v>
      </c>
      <c r="F29" s="6"/>
    </row>
    <row r="30" spans="1:6" ht="18" customHeight="1" x14ac:dyDescent="0.25">
      <c r="A30" s="3"/>
      <c r="B30" s="3"/>
      <c r="C30" s="4" t="str">
        <f t="shared" si="2"/>
        <v/>
      </c>
      <c r="D30" s="5"/>
      <c r="E30" s="6"/>
      <c r="F30" s="6"/>
    </row>
    <row r="31" spans="1:6" ht="18" customHeight="1" x14ac:dyDescent="0.25">
      <c r="A31" s="3"/>
      <c r="B31" s="3"/>
      <c r="C31" s="4" t="str">
        <f t="shared" si="2"/>
        <v/>
      </c>
      <c r="D31" s="5"/>
      <c r="E31" s="6"/>
      <c r="F31" s="6"/>
    </row>
    <row r="32" spans="1:6" ht="18" customHeight="1" x14ac:dyDescent="0.25">
      <c r="A32" s="21" t="s">
        <v>7</v>
      </c>
      <c r="B32" s="21"/>
      <c r="C32" s="4" t="str">
        <f>TEXT(IF(C26&lt;&gt;"",TIMEVALUE(C26),0)+IF(C27&lt;&gt;"",TIMEVALUE(C27),0)+IF(C28&lt;&gt;"",TIMEVALUE(C28),0)+IF(C29&lt;&gt;"",TIMEVALUE(C29),0)+IF(C30&lt;&gt;"",TIMEVALUE(C30),0)+IF(C31&lt;&gt;"",TIMEVALUE(C31),0),"[h]:mm")</f>
        <v>5:35</v>
      </c>
      <c r="D32" s="7"/>
      <c r="E32" s="7"/>
      <c r="F32" s="7"/>
    </row>
    <row r="33" spans="1:6" x14ac:dyDescent="0.25">
      <c r="A33" s="19"/>
      <c r="B33" s="19"/>
      <c r="C33" s="19"/>
      <c r="D33" s="19"/>
      <c r="E33" s="19"/>
      <c r="F33" s="19"/>
    </row>
    <row r="34" spans="1:6" ht="19.5" customHeight="1" x14ac:dyDescent="0.25">
      <c r="A34" s="24" t="s">
        <v>14</v>
      </c>
      <c r="B34" s="24"/>
      <c r="C34" s="24"/>
      <c r="D34" s="24"/>
      <c r="E34" s="24"/>
      <c r="F34" s="24"/>
    </row>
    <row r="35" spans="1:6" ht="19.5" customHeight="1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</v>
      </c>
    </row>
    <row r="36" spans="1:6" ht="25.5" x14ac:dyDescent="0.25">
      <c r="A36" s="9">
        <v>0.34375</v>
      </c>
      <c r="B36" s="9">
        <v>0.40972222222222221</v>
      </c>
      <c r="C36" s="4" t="str">
        <f t="shared" ref="C36:C41" si="3">IF(AND(A36&lt;&gt;"",B36&lt;&gt;""),TEXT(B36-A36,"[h]:mm"),"")</f>
        <v>1:35</v>
      </c>
      <c r="D36" s="5" t="s">
        <v>62</v>
      </c>
      <c r="E36" s="6" t="s">
        <v>66</v>
      </c>
      <c r="F36" s="6"/>
    </row>
    <row r="37" spans="1:6" ht="25.5" x14ac:dyDescent="0.25">
      <c r="A37" s="9">
        <v>0.4201388888888889</v>
      </c>
      <c r="B37" s="9">
        <v>0.4861111111111111</v>
      </c>
      <c r="C37" s="4" t="str">
        <f t="shared" si="3"/>
        <v>1:35</v>
      </c>
      <c r="D37" s="5" t="s">
        <v>42</v>
      </c>
      <c r="E37" s="6" t="s">
        <v>67</v>
      </c>
      <c r="F37" s="6"/>
    </row>
    <row r="38" spans="1:6" ht="18" customHeight="1" x14ac:dyDescent="0.25">
      <c r="A38" s="9">
        <v>0.48958333333333331</v>
      </c>
      <c r="B38" s="9">
        <v>0.5</v>
      </c>
      <c r="C38" s="4" t="str">
        <f t="shared" si="3"/>
        <v>0:15</v>
      </c>
      <c r="D38" s="5" t="s">
        <v>41</v>
      </c>
      <c r="E38" s="6" t="s">
        <v>57</v>
      </c>
      <c r="F38" s="6"/>
    </row>
    <row r="39" spans="1:6" ht="25.5" x14ac:dyDescent="0.25">
      <c r="A39" s="9">
        <v>0.5</v>
      </c>
      <c r="B39" s="9">
        <v>0.51388888888888884</v>
      </c>
      <c r="C39" s="4" t="str">
        <f t="shared" si="3"/>
        <v>0:20</v>
      </c>
      <c r="D39" s="5" t="s">
        <v>49</v>
      </c>
      <c r="E39" s="6" t="s">
        <v>68</v>
      </c>
      <c r="F39" s="6"/>
    </row>
    <row r="40" spans="1:6" x14ac:dyDescent="0.25">
      <c r="A40" s="9">
        <v>0.51388888888888884</v>
      </c>
      <c r="B40" s="9">
        <v>0.52083333333333337</v>
      </c>
      <c r="C40" s="4" t="str">
        <f t="shared" si="3"/>
        <v>0:10</v>
      </c>
      <c r="D40" s="5" t="s">
        <v>59</v>
      </c>
      <c r="E40" s="6" t="s">
        <v>69</v>
      </c>
      <c r="F40" s="6"/>
    </row>
    <row r="41" spans="1:6" ht="18" customHeight="1" x14ac:dyDescent="0.25">
      <c r="A41" s="3"/>
      <c r="B41" s="3"/>
      <c r="C41" s="4" t="str">
        <f t="shared" si="3"/>
        <v/>
      </c>
      <c r="D41" s="5"/>
      <c r="E41" s="6"/>
      <c r="F41" s="6"/>
    </row>
    <row r="42" spans="1:6" ht="18" customHeight="1" x14ac:dyDescent="0.25">
      <c r="A42" s="21" t="s">
        <v>7</v>
      </c>
      <c r="B42" s="21"/>
      <c r="C42" s="4" t="str">
        <f>TEXT(IF(C36&lt;&gt;"",TIMEVALUE(C36),0)+IF(C37&lt;&gt;"",TIMEVALUE(C37),0)+IF(C38&lt;&gt;"",TIMEVALUE(C38),0)+IF(C39&lt;&gt;"",TIMEVALUE(C39),0)+IF(C40&lt;&gt;"",TIMEVALUE(C40),0)+IF(C41&lt;&gt;"",TIMEVALUE(C41),0),"[h]:mm")</f>
        <v>3:55</v>
      </c>
      <c r="D42" s="7"/>
      <c r="E42" s="7"/>
      <c r="F42" s="7"/>
    </row>
    <row r="43" spans="1:6" x14ac:dyDescent="0.25">
      <c r="A43" s="19"/>
      <c r="B43" s="19"/>
      <c r="C43" s="19"/>
      <c r="D43" s="19"/>
      <c r="E43" s="19"/>
      <c r="F43" s="19"/>
    </row>
    <row r="44" spans="1:6" ht="24" customHeight="1" x14ac:dyDescent="0.25">
      <c r="A44" s="20" t="s">
        <v>9</v>
      </c>
      <c r="B44" s="20"/>
      <c r="C44" s="8" t="str">
        <f>TEXT(IF(C11&lt;&gt;"",TIMEVALUE(C11),0)+IF(C22&lt;&gt;"",TIMEVALUE(C22),0)+IF(C32&lt;&gt;"",TIMEVALUE(C32),0)+IF(C42&lt;&gt;"",TIMEVALUE(C42),0),"[h]:mm")</f>
        <v>22:30</v>
      </c>
      <c r="D44" s="1"/>
      <c r="E44" s="1"/>
      <c r="F44" s="1"/>
    </row>
  </sheetData>
  <mergeCells count="14">
    <mergeCell ref="A22:B22"/>
    <mergeCell ref="A23:F23"/>
    <mergeCell ref="A24:F24"/>
    <mergeCell ref="A32:B32"/>
    <mergeCell ref="A1:F1"/>
    <mergeCell ref="A3:F3"/>
    <mergeCell ref="A11:B11"/>
    <mergeCell ref="A12:F12"/>
    <mergeCell ref="A13:F13"/>
    <mergeCell ref="A33:F33"/>
    <mergeCell ref="A34:F34"/>
    <mergeCell ref="A42:B42"/>
    <mergeCell ref="A43:F43"/>
    <mergeCell ref="A44:B4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showGridLines="0" topLeftCell="A23" zoomScale="85" zoomScaleNormal="85" workbookViewId="0">
      <selection activeCell="C5" sqref="C5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25" t="s">
        <v>15</v>
      </c>
      <c r="B1" s="25"/>
      <c r="C1" s="25"/>
      <c r="D1" s="25"/>
      <c r="E1" s="25"/>
      <c r="F1" s="25"/>
    </row>
    <row r="2" spans="1:6" ht="7.5" customHeight="1" x14ac:dyDescent="0.25"/>
    <row r="3" spans="1:6" ht="19.5" customHeight="1" x14ac:dyDescent="0.25">
      <c r="A3" s="24" t="s">
        <v>16</v>
      </c>
      <c r="B3" s="24"/>
      <c r="C3" s="24"/>
      <c r="D3" s="24"/>
      <c r="E3" s="24"/>
      <c r="F3" s="24"/>
    </row>
    <row r="4" spans="1:6" ht="2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25.5" x14ac:dyDescent="0.25">
      <c r="A5" s="9">
        <v>0.39583333333333331</v>
      </c>
      <c r="B5" s="9">
        <v>0.40972222222222221</v>
      </c>
      <c r="C5" s="4" t="str">
        <f t="shared" ref="C5:C10" si="0">IF(AND(A5&lt;&gt;"",B5&lt;&gt;""),TEXT(B5-A5,"[h]:mm"),"")</f>
        <v>0:20</v>
      </c>
      <c r="D5" s="5" t="s">
        <v>62</v>
      </c>
      <c r="E5" s="6" t="s">
        <v>71</v>
      </c>
      <c r="F5" s="6" t="s">
        <v>70</v>
      </c>
    </row>
    <row r="6" spans="1:6" ht="25.5" x14ac:dyDescent="0.25">
      <c r="A6" s="9">
        <v>0.4201388888888889</v>
      </c>
      <c r="B6" s="9">
        <v>0.52083333333333337</v>
      </c>
      <c r="C6" s="4" t="str">
        <f t="shared" si="0"/>
        <v>2:25</v>
      </c>
      <c r="D6" s="5" t="s">
        <v>62</v>
      </c>
      <c r="E6" s="6" t="s">
        <v>72</v>
      </c>
      <c r="F6" s="6"/>
    </row>
    <row r="7" spans="1:6" ht="38.25" x14ac:dyDescent="0.25">
      <c r="A7" s="9">
        <v>0.55555555555555558</v>
      </c>
      <c r="B7" s="9">
        <v>0.61805555555555558</v>
      </c>
      <c r="C7" s="4" t="str">
        <f t="shared" si="0"/>
        <v>1:30</v>
      </c>
      <c r="D7" s="5" t="s">
        <v>62</v>
      </c>
      <c r="E7" s="6" t="s">
        <v>73</v>
      </c>
      <c r="F7" s="6"/>
    </row>
    <row r="8" spans="1:6" ht="51" x14ac:dyDescent="0.25">
      <c r="A8" s="9">
        <v>0.62152777777777779</v>
      </c>
      <c r="B8" s="9">
        <v>0.68055555555555558</v>
      </c>
      <c r="C8" s="4" t="str">
        <f t="shared" si="0"/>
        <v>1:25</v>
      </c>
      <c r="D8" s="5" t="s">
        <v>62</v>
      </c>
      <c r="E8" s="6" t="s">
        <v>74</v>
      </c>
      <c r="F8" s="6"/>
    </row>
    <row r="9" spans="1:6" ht="18" customHeight="1" x14ac:dyDescent="0.25">
      <c r="A9" s="9">
        <v>0.68055555555555558</v>
      </c>
      <c r="B9" s="9">
        <v>0.69444444444444442</v>
      </c>
      <c r="C9" s="4" t="str">
        <f t="shared" si="0"/>
        <v>0:20</v>
      </c>
      <c r="D9" s="5" t="s">
        <v>41</v>
      </c>
      <c r="E9" s="6" t="s">
        <v>57</v>
      </c>
      <c r="F9" s="6"/>
    </row>
    <row r="10" spans="1:6" ht="18" customHeight="1" x14ac:dyDescent="0.25">
      <c r="A10" s="3"/>
      <c r="B10" s="3"/>
      <c r="C10" s="4" t="str">
        <f t="shared" si="0"/>
        <v/>
      </c>
      <c r="D10" s="5"/>
      <c r="E10" s="6"/>
      <c r="F10" s="6"/>
    </row>
    <row r="11" spans="1:6" ht="18" customHeight="1" x14ac:dyDescent="0.25">
      <c r="A11" s="21" t="s">
        <v>7</v>
      </c>
      <c r="B11" s="21"/>
      <c r="C11" s="4" t="str">
        <f>TEXT(IF(C5&lt;&gt;"",TIMEVALUE(C5),0)+IF(C6&lt;&gt;"",TIMEVALUE(C6),0)+IF(C7&lt;&gt;"",TIMEVALUE(C7),0)+IF(C8&lt;&gt;"",TIMEVALUE(C8),0)+IF(C9&lt;&gt;"",TIMEVALUE(C9),0)+IF(C10&lt;&gt;"",TIMEVALUE(C10),0),"[h]:mm")</f>
        <v>6:00</v>
      </c>
      <c r="D11" s="7"/>
      <c r="E11" s="7"/>
      <c r="F11" s="7"/>
    </row>
    <row r="12" spans="1:6" x14ac:dyDescent="0.25">
      <c r="A12" s="19"/>
      <c r="B12" s="19"/>
      <c r="C12" s="19"/>
      <c r="D12" s="19"/>
      <c r="E12" s="19"/>
      <c r="F12" s="19"/>
    </row>
    <row r="13" spans="1:6" ht="19.5" customHeight="1" x14ac:dyDescent="0.25">
      <c r="A13" s="24" t="s">
        <v>17</v>
      </c>
      <c r="B13" s="24"/>
      <c r="C13" s="24"/>
      <c r="D13" s="24"/>
      <c r="E13" s="24"/>
      <c r="F13" s="24"/>
    </row>
    <row r="14" spans="1:6" ht="24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38.25" x14ac:dyDescent="0.25">
      <c r="A15" s="12">
        <v>0.34375</v>
      </c>
      <c r="B15" s="12">
        <v>0.39583333333333331</v>
      </c>
      <c r="C15" s="4" t="str">
        <f t="shared" ref="C15:C20" si="1">IF(AND(A15&lt;&gt;"",B15&lt;&gt;""),TEXT(B15-A15,"[h]:mm"),"")</f>
        <v>1:15</v>
      </c>
      <c r="D15" s="5" t="s">
        <v>62</v>
      </c>
      <c r="E15" s="6" t="s">
        <v>75</v>
      </c>
      <c r="F15" s="6"/>
    </row>
    <row r="16" spans="1:6" ht="38.25" x14ac:dyDescent="0.25">
      <c r="A16" s="12">
        <v>0.39930555555555558</v>
      </c>
      <c r="B16" s="12">
        <v>0.4513888888888889</v>
      </c>
      <c r="C16" s="4" t="str">
        <f t="shared" si="1"/>
        <v>1:15</v>
      </c>
      <c r="D16" s="5" t="s">
        <v>62</v>
      </c>
      <c r="E16" s="6" t="s">
        <v>76</v>
      </c>
      <c r="F16" s="6"/>
    </row>
    <row r="17" spans="1:6" ht="51" x14ac:dyDescent="0.25">
      <c r="A17" s="12">
        <v>0.4513888888888889</v>
      </c>
      <c r="B17" s="12">
        <v>0.52083333333333337</v>
      </c>
      <c r="C17" s="4" t="str">
        <f t="shared" si="1"/>
        <v>1:40</v>
      </c>
      <c r="D17" s="5" t="s">
        <v>62</v>
      </c>
      <c r="E17" s="6" t="s">
        <v>77</v>
      </c>
      <c r="F17" s="6"/>
    </row>
    <row r="18" spans="1:6" ht="38.25" x14ac:dyDescent="0.25">
      <c r="A18" s="12">
        <v>0.55555555555555558</v>
      </c>
      <c r="B18" s="12">
        <v>0.62152777777777779</v>
      </c>
      <c r="C18" s="4" t="str">
        <f t="shared" si="1"/>
        <v>1:35</v>
      </c>
      <c r="D18" s="5" t="s">
        <v>62</v>
      </c>
      <c r="E18" s="6" t="s">
        <v>78</v>
      </c>
      <c r="F18" s="6"/>
    </row>
    <row r="19" spans="1:6" ht="25.5" x14ac:dyDescent="0.25">
      <c r="A19" s="12">
        <v>0.62847222222222221</v>
      </c>
      <c r="B19" s="12">
        <v>0.69097222222222221</v>
      </c>
      <c r="C19" s="4" t="str">
        <f t="shared" si="1"/>
        <v>1:30</v>
      </c>
      <c r="D19" s="5" t="s">
        <v>42</v>
      </c>
      <c r="E19" s="6" t="s">
        <v>79</v>
      </c>
      <c r="F19" s="6"/>
    </row>
    <row r="20" spans="1:6" ht="25.5" x14ac:dyDescent="0.25">
      <c r="A20" s="12">
        <v>0.69097222222222221</v>
      </c>
      <c r="B20" s="12">
        <v>0.69444444444444442</v>
      </c>
      <c r="C20" s="4" t="str">
        <f t="shared" si="1"/>
        <v>0:05</v>
      </c>
      <c r="D20" s="5" t="s">
        <v>59</v>
      </c>
      <c r="E20" s="6" t="s">
        <v>58</v>
      </c>
      <c r="F20" s="6"/>
    </row>
    <row r="21" spans="1:6" ht="18" customHeight="1" x14ac:dyDescent="0.25">
      <c r="A21" s="21" t="s">
        <v>7</v>
      </c>
      <c r="B21" s="21"/>
      <c r="C21" s="4" t="str">
        <f>TEXT(IF(C15&lt;&gt;"",TIMEVALUE(C15),0)+IF(C16&lt;&gt;"",TIMEVALUE(C16),0)+IF(C17&lt;&gt;"",TIMEVALUE(C17),0)+IF(C18&lt;&gt;"",TIMEVALUE(C18),0)+IF(C19&lt;&gt;"",TIMEVALUE(C19),0)+IF(C20&lt;&gt;"",TIMEVALUE(C20),0),"[h]:mm")</f>
        <v>7:20</v>
      </c>
      <c r="D21" s="7"/>
      <c r="E21" s="7"/>
      <c r="F21" s="7"/>
    </row>
    <row r="22" spans="1:6" x14ac:dyDescent="0.25">
      <c r="A22" s="19"/>
      <c r="B22" s="19"/>
      <c r="C22" s="19"/>
      <c r="D22" s="19"/>
      <c r="E22" s="19"/>
      <c r="F22" s="19"/>
    </row>
    <row r="23" spans="1:6" ht="19.5" customHeight="1" x14ac:dyDescent="0.25">
      <c r="A23" s="24" t="s">
        <v>18</v>
      </c>
      <c r="B23" s="24"/>
      <c r="C23" s="24"/>
      <c r="D23" s="24"/>
      <c r="E23" s="24"/>
      <c r="F23" s="24"/>
    </row>
    <row r="24" spans="1:6" ht="24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</row>
    <row r="25" spans="1:6" ht="25.5" x14ac:dyDescent="0.25">
      <c r="A25" s="9">
        <v>0.34375</v>
      </c>
      <c r="B25" s="9">
        <v>0.37847222222222232</v>
      </c>
      <c r="C25" s="4" t="str">
        <f t="shared" ref="C25:C30" si="2">IF(AND(A25&lt;&gt;"",B25&lt;&gt;""),TEXT(B25-A25,"[h]:mm"),"")</f>
        <v>0:50</v>
      </c>
      <c r="D25" s="5" t="s">
        <v>62</v>
      </c>
      <c r="E25" s="6" t="s">
        <v>81</v>
      </c>
      <c r="F25" s="6"/>
    </row>
    <row r="26" spans="1:6" ht="25.5" x14ac:dyDescent="0.25">
      <c r="A26" s="9">
        <v>0.38194444444444442</v>
      </c>
      <c r="B26" s="9">
        <v>0.4201388888888889</v>
      </c>
      <c r="C26" s="4" t="str">
        <f t="shared" si="2"/>
        <v>0:55</v>
      </c>
      <c r="D26" s="5" t="s">
        <v>62</v>
      </c>
      <c r="E26" s="6" t="s">
        <v>85</v>
      </c>
      <c r="F26" s="6"/>
    </row>
    <row r="27" spans="1:6" ht="25.5" x14ac:dyDescent="0.25">
      <c r="A27" s="9">
        <v>0.4236111111111111</v>
      </c>
      <c r="B27" s="9">
        <v>0.45833333333333331</v>
      </c>
      <c r="C27" s="4" t="str">
        <f t="shared" si="2"/>
        <v>0:50</v>
      </c>
      <c r="D27" s="5" t="s">
        <v>62</v>
      </c>
      <c r="E27" s="6" t="s">
        <v>82</v>
      </c>
      <c r="F27" s="6"/>
    </row>
    <row r="28" spans="1:6" ht="25.5" x14ac:dyDescent="0.25">
      <c r="A28" s="9">
        <v>0.46180555555555558</v>
      </c>
      <c r="B28" s="9">
        <v>0.48958333333333331</v>
      </c>
      <c r="C28" s="4" t="str">
        <f t="shared" si="2"/>
        <v>0:40</v>
      </c>
      <c r="D28" s="5" t="s">
        <v>62</v>
      </c>
      <c r="E28" s="6" t="s">
        <v>83</v>
      </c>
      <c r="F28" s="6"/>
    </row>
    <row r="29" spans="1:6" ht="25.5" x14ac:dyDescent="0.25">
      <c r="A29" s="9">
        <v>0.55555555555555558</v>
      </c>
      <c r="B29" s="9">
        <v>0.62152777777777779</v>
      </c>
      <c r="C29" s="4" t="str">
        <f t="shared" si="2"/>
        <v>1:35</v>
      </c>
      <c r="D29" s="5" t="s">
        <v>62</v>
      </c>
      <c r="E29" s="6" t="s">
        <v>83</v>
      </c>
      <c r="F29" s="6"/>
    </row>
    <row r="30" spans="1:6" ht="25.5" x14ac:dyDescent="0.25">
      <c r="A30" s="9">
        <v>0.62847222222222221</v>
      </c>
      <c r="B30" s="9">
        <v>0.69444444444444442</v>
      </c>
      <c r="C30" s="4" t="str">
        <f t="shared" si="2"/>
        <v>1:35</v>
      </c>
      <c r="D30" s="5" t="s">
        <v>62</v>
      </c>
      <c r="E30" s="6" t="s">
        <v>84</v>
      </c>
      <c r="F30" s="6"/>
    </row>
    <row r="31" spans="1:6" ht="18" customHeight="1" x14ac:dyDescent="0.25">
      <c r="A31" s="21" t="s">
        <v>7</v>
      </c>
      <c r="B31" s="21"/>
      <c r="C31" s="4" t="str">
        <f>TEXT(IF(C25&lt;&gt;"",TIMEVALUE(C25),0)+IF(C26&lt;&gt;"",TIMEVALUE(C26),0)+IF(C27&lt;&gt;"",TIMEVALUE(C27),0)+IF(C28&lt;&gt;"",TIMEVALUE(C28),0)+IF(C29&lt;&gt;"",TIMEVALUE(C29),0)+IF(C30&lt;&gt;"",TIMEVALUE(C30),0),"[h]:mm")</f>
        <v>6:25</v>
      </c>
      <c r="D31" s="7"/>
      <c r="E31" s="7"/>
      <c r="F31" s="7"/>
    </row>
    <row r="32" spans="1:6" x14ac:dyDescent="0.25">
      <c r="A32" s="19"/>
      <c r="B32" s="19"/>
      <c r="C32" s="19"/>
      <c r="D32" s="19"/>
      <c r="E32" s="19"/>
      <c r="F32" s="19"/>
    </row>
    <row r="33" spans="1:6" ht="19.5" customHeight="1" x14ac:dyDescent="0.25">
      <c r="A33" s="24" t="s">
        <v>19</v>
      </c>
      <c r="B33" s="24"/>
      <c r="C33" s="24"/>
      <c r="D33" s="24"/>
      <c r="E33" s="24"/>
      <c r="F33" s="24"/>
    </row>
    <row r="34" spans="1:6" ht="24" x14ac:dyDescent="0.2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</row>
    <row r="35" spans="1:6" ht="25.5" x14ac:dyDescent="0.25">
      <c r="A35" s="9">
        <v>0.34375</v>
      </c>
      <c r="B35" s="9">
        <v>0.35416666666666669</v>
      </c>
      <c r="C35" s="4" t="str">
        <f t="shared" ref="C35:C40" si="3">IF(AND(A35&lt;&gt;"",B35&lt;&gt;""),TEXT(B35-A35,"[h]:mm"),"")</f>
        <v>0:15</v>
      </c>
      <c r="D35" s="5" t="s">
        <v>86</v>
      </c>
      <c r="E35" s="6" t="s">
        <v>87</v>
      </c>
      <c r="F35" s="6"/>
    </row>
    <row r="36" spans="1:6" ht="25.5" x14ac:dyDescent="0.25">
      <c r="A36" s="9">
        <v>0.35416666666666669</v>
      </c>
      <c r="B36" s="9">
        <v>0.40972222222222221</v>
      </c>
      <c r="C36" s="4" t="str">
        <f t="shared" si="3"/>
        <v>1:20</v>
      </c>
      <c r="D36" s="5" t="s">
        <v>62</v>
      </c>
      <c r="E36" s="6" t="s">
        <v>88</v>
      </c>
      <c r="F36" s="6"/>
    </row>
    <row r="37" spans="1:6" ht="25.5" x14ac:dyDescent="0.25">
      <c r="A37" s="9">
        <v>0.4201388888888889</v>
      </c>
      <c r="B37" s="9">
        <v>0.47222222222222221</v>
      </c>
      <c r="C37" s="4" t="str">
        <f t="shared" si="3"/>
        <v>1:15</v>
      </c>
      <c r="D37" s="5" t="s">
        <v>62</v>
      </c>
      <c r="E37" s="6" t="s">
        <v>89</v>
      </c>
      <c r="F37" s="6"/>
    </row>
    <row r="38" spans="1:6" ht="25.5" x14ac:dyDescent="0.25">
      <c r="A38" s="9">
        <v>0.47222222222222221</v>
      </c>
      <c r="B38" s="9">
        <v>0.48958333333333331</v>
      </c>
      <c r="C38" s="4" t="str">
        <f t="shared" si="3"/>
        <v>0:25</v>
      </c>
      <c r="D38" s="5" t="s">
        <v>42</v>
      </c>
      <c r="E38" s="6" t="s">
        <v>90</v>
      </c>
      <c r="F38" s="6"/>
    </row>
    <row r="39" spans="1:6" ht="25.5" x14ac:dyDescent="0.25">
      <c r="A39" s="9">
        <v>0.49305555555555558</v>
      </c>
      <c r="B39" s="9">
        <v>0.52083333333333337</v>
      </c>
      <c r="C39" s="4" t="str">
        <f t="shared" si="3"/>
        <v>0:40</v>
      </c>
      <c r="D39" s="5" t="s">
        <v>62</v>
      </c>
      <c r="E39" s="6" t="s">
        <v>91</v>
      </c>
      <c r="F39" s="6"/>
    </row>
    <row r="40" spans="1:6" ht="18" customHeight="1" x14ac:dyDescent="0.25">
      <c r="A40" s="3"/>
      <c r="B40" s="3"/>
      <c r="C40" s="4" t="str">
        <f t="shared" si="3"/>
        <v/>
      </c>
      <c r="D40" s="5"/>
      <c r="E40" s="6"/>
      <c r="F40" s="6"/>
    </row>
    <row r="41" spans="1:6" ht="18" customHeight="1" x14ac:dyDescent="0.25">
      <c r="A41" s="21" t="s">
        <v>7</v>
      </c>
      <c r="B41" s="21"/>
      <c r="C41" s="4" t="str">
        <f>TEXT(IF(C35&lt;&gt;"",TIMEVALUE(C35),0)+IF(C36&lt;&gt;"",TIMEVALUE(C36),0)+IF(C37&lt;&gt;"",TIMEVALUE(C37),0)+IF(C38&lt;&gt;"",TIMEVALUE(C38),0)+IF(C39&lt;&gt;"",TIMEVALUE(C39),0)+IF(C40&lt;&gt;"",TIMEVALUE(C40),0),"[h]:mm")</f>
        <v>3:55</v>
      </c>
      <c r="D41" s="7"/>
      <c r="E41" s="7"/>
      <c r="F41" s="7"/>
    </row>
    <row r="42" spans="1:6" x14ac:dyDescent="0.25">
      <c r="A42" s="19"/>
      <c r="B42" s="19"/>
      <c r="C42" s="19"/>
      <c r="D42" s="19"/>
      <c r="E42" s="19"/>
      <c r="F42" s="19"/>
    </row>
    <row r="43" spans="1:6" ht="24" customHeight="1" x14ac:dyDescent="0.25">
      <c r="A43" s="20" t="s">
        <v>9</v>
      </c>
      <c r="B43" s="20"/>
      <c r="C43" s="8" t="str">
        <f>TEXT(IF(C11&lt;&gt;"",TIMEVALUE(C11),0)+IF(C21&lt;&gt;"",TIMEVALUE(C21),0)+IF(C31&lt;&gt;"",TIMEVALUE(C31),0)+IF(C41&lt;&gt;"",TIMEVALUE(C41),0),"[h]:mm")</f>
        <v>23:40</v>
      </c>
      <c r="D43" s="1"/>
      <c r="E43" s="1"/>
      <c r="F43" s="1"/>
    </row>
  </sheetData>
  <mergeCells count="14">
    <mergeCell ref="A21:B21"/>
    <mergeCell ref="A22:F22"/>
    <mergeCell ref="A23:F23"/>
    <mergeCell ref="A31:B31"/>
    <mergeCell ref="A1:F1"/>
    <mergeCell ref="A3:F3"/>
    <mergeCell ref="A11:B11"/>
    <mergeCell ref="A12:F12"/>
    <mergeCell ref="A13:F13"/>
    <mergeCell ref="A32:F32"/>
    <mergeCell ref="A33:F33"/>
    <mergeCell ref="A41:B41"/>
    <mergeCell ref="A42:F42"/>
    <mergeCell ref="A43:B43"/>
  </mergeCells>
  <pageMargins left="0.25" right="0.25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topLeftCell="A16" zoomScale="115" zoomScaleNormal="115" workbookViewId="0">
      <selection activeCell="E20" sqref="E20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25" t="s">
        <v>20</v>
      </c>
      <c r="B1" s="25"/>
      <c r="C1" s="25"/>
      <c r="D1" s="25"/>
      <c r="E1" s="25"/>
      <c r="F1" s="25"/>
    </row>
    <row r="2" spans="1:6" ht="7.5" customHeight="1" x14ac:dyDescent="0.25"/>
    <row r="3" spans="1:6" ht="19.5" customHeight="1" x14ac:dyDescent="0.25">
      <c r="A3" s="24" t="s">
        <v>21</v>
      </c>
      <c r="B3" s="24"/>
      <c r="C3" s="24"/>
      <c r="D3" s="24"/>
      <c r="E3" s="24"/>
      <c r="F3" s="24"/>
    </row>
    <row r="4" spans="1:6" ht="2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38.25" x14ac:dyDescent="0.25">
      <c r="A5" s="14">
        <v>0.34375</v>
      </c>
      <c r="B5" s="14">
        <v>0.39583333333333298</v>
      </c>
      <c r="C5" s="4" t="str">
        <f t="shared" ref="C5:C11" si="0">IF(AND(A5&lt;&gt;"",B5&lt;&gt;""),TEXT(B5-A5,"[h]:mm"),"")</f>
        <v>1:15</v>
      </c>
      <c r="D5" s="10" t="s">
        <v>92</v>
      </c>
      <c r="E5" s="11" t="s">
        <v>93</v>
      </c>
      <c r="F5" s="6"/>
    </row>
    <row r="6" spans="1:6" ht="38.25" x14ac:dyDescent="0.25">
      <c r="A6" s="14">
        <v>0.39583333333333298</v>
      </c>
      <c r="B6" s="14">
        <v>0.4375</v>
      </c>
      <c r="C6" s="4" t="str">
        <f t="shared" si="0"/>
        <v>1:00</v>
      </c>
      <c r="D6" s="10" t="s">
        <v>94</v>
      </c>
      <c r="E6" s="11" t="s">
        <v>95</v>
      </c>
      <c r="F6" s="6"/>
    </row>
    <row r="7" spans="1:6" ht="38.25" x14ac:dyDescent="0.25">
      <c r="A7" s="14">
        <v>0.4375</v>
      </c>
      <c r="B7" s="14">
        <v>0.46875</v>
      </c>
      <c r="C7" s="4" t="str">
        <f t="shared" si="0"/>
        <v>0:45</v>
      </c>
      <c r="D7" s="10" t="s">
        <v>94</v>
      </c>
      <c r="E7" s="11" t="s">
        <v>96</v>
      </c>
      <c r="F7" s="6"/>
    </row>
    <row r="8" spans="1:6" x14ac:dyDescent="0.25">
      <c r="A8" s="14">
        <v>0.55555555555555602</v>
      </c>
      <c r="B8" s="14">
        <v>0.56944444444444398</v>
      </c>
      <c r="C8" s="4" t="str">
        <f t="shared" si="0"/>
        <v>0:20</v>
      </c>
      <c r="D8" s="10" t="s">
        <v>41</v>
      </c>
      <c r="E8" s="11" t="s">
        <v>97</v>
      </c>
      <c r="F8" s="6"/>
    </row>
    <row r="9" spans="1:6" ht="25.5" x14ac:dyDescent="0.25">
      <c r="A9" s="14">
        <v>0.56944444444444398</v>
      </c>
      <c r="B9" s="14">
        <v>0.58333333333333304</v>
      </c>
      <c r="C9" s="4" t="str">
        <f t="shared" si="0"/>
        <v>0:20</v>
      </c>
      <c r="D9" s="10" t="s">
        <v>29</v>
      </c>
      <c r="E9" s="11" t="s">
        <v>98</v>
      </c>
      <c r="F9" s="6"/>
    </row>
    <row r="10" spans="1:6" ht="38.25" x14ac:dyDescent="0.25">
      <c r="A10" s="14">
        <v>0.58333333333333304</v>
      </c>
      <c r="B10" s="14">
        <v>0.62152777777777779</v>
      </c>
      <c r="C10" s="4" t="str">
        <f t="shared" si="0"/>
        <v>0:55</v>
      </c>
      <c r="D10" s="10" t="s">
        <v>92</v>
      </c>
      <c r="E10" s="11" t="s">
        <v>99</v>
      </c>
      <c r="F10" s="6"/>
    </row>
    <row r="11" spans="1:6" ht="25.5" x14ac:dyDescent="0.25">
      <c r="A11" s="13">
        <v>0.62847222222222221</v>
      </c>
      <c r="B11" s="13">
        <v>0.64583333333333337</v>
      </c>
      <c r="C11" s="4" t="str">
        <f t="shared" si="0"/>
        <v>0:25</v>
      </c>
      <c r="D11" s="10" t="s">
        <v>100</v>
      </c>
      <c r="E11" s="11" t="s">
        <v>106</v>
      </c>
      <c r="F11" s="6"/>
    </row>
    <row r="12" spans="1:6" x14ac:dyDescent="0.25">
      <c r="A12" s="21" t="s">
        <v>7</v>
      </c>
      <c r="B12" s="21"/>
      <c r="C12" s="4" t="str">
        <f>TEXT(IF(C5&lt;&gt;"",TIMEVALUE(C5),0)+IF(C6&lt;&gt;"",TIMEVALUE(C6),0)+IF(C7&lt;&gt;"",TIMEVALUE(C7),0)+IF(C8&lt;&gt;"",TIMEVALUE(C8),0)+IF(C9&lt;&gt;"",TIMEVALUE(C9),0)+IF(C10&lt;&gt;"",TIMEVALUE(C10),0),"[h]:mm")</f>
        <v>4:35</v>
      </c>
      <c r="D12" s="7"/>
      <c r="E12" s="7"/>
      <c r="F12" s="7"/>
    </row>
    <row r="13" spans="1:6" x14ac:dyDescent="0.25">
      <c r="A13" s="19"/>
      <c r="B13" s="19"/>
      <c r="C13" s="19"/>
      <c r="D13" s="19"/>
      <c r="E13" s="19"/>
      <c r="F13" s="19"/>
    </row>
    <row r="14" spans="1:6" ht="19.5" customHeight="1" x14ac:dyDescent="0.25">
      <c r="A14" s="24" t="s">
        <v>22</v>
      </c>
      <c r="B14" s="24"/>
      <c r="C14" s="24"/>
      <c r="D14" s="24"/>
      <c r="E14" s="24"/>
      <c r="F14" s="24"/>
    </row>
    <row r="15" spans="1:6" ht="24" x14ac:dyDescent="0.2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</row>
    <row r="16" spans="1:6" ht="38.25" x14ac:dyDescent="0.25">
      <c r="A16" s="15">
        <v>0.34375</v>
      </c>
      <c r="B16" s="15">
        <v>0.39583333333333298</v>
      </c>
      <c r="C16" s="4" t="str">
        <f t="shared" ref="C16:C21" si="1">IF(AND(A16&lt;&gt;"",B16&lt;&gt;""),TEXT(B16-A16,"[h]:mm"),"")</f>
        <v>1:15</v>
      </c>
      <c r="D16" s="5" t="s">
        <v>92</v>
      </c>
      <c r="E16" s="6" t="s">
        <v>101</v>
      </c>
      <c r="F16" s="6"/>
    </row>
    <row r="17" spans="1:6" ht="25.5" x14ac:dyDescent="0.25">
      <c r="A17" s="15">
        <v>0.39583333333333298</v>
      </c>
      <c r="B17" s="15">
        <v>0.4375</v>
      </c>
      <c r="C17" s="4" t="str">
        <f t="shared" si="1"/>
        <v>1:00</v>
      </c>
      <c r="D17" s="5" t="s">
        <v>92</v>
      </c>
      <c r="E17" s="6" t="s">
        <v>102</v>
      </c>
      <c r="F17" s="6"/>
    </row>
    <row r="18" spans="1:6" ht="38.25" x14ac:dyDescent="0.25">
      <c r="A18" s="15">
        <v>0.4375</v>
      </c>
      <c r="B18" s="15">
        <v>0.5</v>
      </c>
      <c r="C18" s="4" t="str">
        <f t="shared" si="1"/>
        <v>1:30</v>
      </c>
      <c r="D18" s="5" t="s">
        <v>92</v>
      </c>
      <c r="E18" s="6" t="s">
        <v>107</v>
      </c>
      <c r="F18" s="6"/>
    </row>
    <row r="19" spans="1:6" ht="38.25" x14ac:dyDescent="0.25">
      <c r="A19" s="15">
        <v>0.54166666666666696</v>
      </c>
      <c r="B19" s="15">
        <v>0.60416666666666696</v>
      </c>
      <c r="C19" s="4" t="str">
        <f t="shared" si="1"/>
        <v>1:30</v>
      </c>
      <c r="D19" s="5" t="s">
        <v>92</v>
      </c>
      <c r="E19" s="6" t="s">
        <v>103</v>
      </c>
      <c r="F19" s="6"/>
    </row>
    <row r="20" spans="1:6" ht="38.25" x14ac:dyDescent="0.25">
      <c r="A20" s="15">
        <v>0.60416666666666696</v>
      </c>
      <c r="B20" s="15">
        <v>0.64583333333333304</v>
      </c>
      <c r="C20" s="4" t="str">
        <f t="shared" si="1"/>
        <v>1:00</v>
      </c>
      <c r="D20" s="5" t="s">
        <v>94</v>
      </c>
      <c r="E20" s="6" t="s">
        <v>104</v>
      </c>
      <c r="F20" s="6"/>
    </row>
    <row r="21" spans="1:6" ht="25.5" x14ac:dyDescent="0.25">
      <c r="A21" s="15">
        <v>0.64583333333333304</v>
      </c>
      <c r="B21" s="15">
        <v>0.69444444444444398</v>
      </c>
      <c r="C21" s="4" t="str">
        <f t="shared" si="1"/>
        <v>1:10</v>
      </c>
      <c r="D21" s="5" t="s">
        <v>41</v>
      </c>
      <c r="E21" s="6" t="s">
        <v>105</v>
      </c>
      <c r="F21" s="6"/>
    </row>
    <row r="22" spans="1:6" x14ac:dyDescent="0.25">
      <c r="A22" s="21" t="s">
        <v>7</v>
      </c>
      <c r="B22" s="21"/>
      <c r="C22" s="4" t="str">
        <f>TEXT(IF(C16&lt;&gt;"",TIMEVALUE(C16),0)+IF(C17&lt;&gt;"",TIMEVALUE(C17),0)+IF(C18&lt;&gt;"",TIMEVALUE(C18),0)+IF(C19&lt;&gt;"",TIMEVALUE(C19),0)+IF(C20&lt;&gt;"",TIMEVALUE(C20),0)+IF(C21&lt;&gt;"",TIMEVALUE(C21),0),"[h]:mm")</f>
        <v>7:25</v>
      </c>
      <c r="D22" s="7"/>
      <c r="E22" s="7"/>
      <c r="F22" s="7"/>
    </row>
    <row r="23" spans="1:6" x14ac:dyDescent="0.25">
      <c r="A23" s="19"/>
      <c r="B23" s="19"/>
      <c r="C23" s="19"/>
      <c r="D23" s="19"/>
      <c r="E23" s="19"/>
      <c r="F23" s="19"/>
    </row>
    <row r="24" spans="1:6" ht="18" customHeight="1" x14ac:dyDescent="0.25">
      <c r="A24" s="26" t="s">
        <v>23</v>
      </c>
      <c r="B24" s="26"/>
      <c r="C24" s="26"/>
      <c r="D24" s="26"/>
      <c r="E24" s="26"/>
      <c r="F24" s="26"/>
    </row>
    <row r="25" spans="1:6" ht="18" customHeight="1" x14ac:dyDescent="0.25">
      <c r="A25" s="26" t="s">
        <v>24</v>
      </c>
      <c r="B25" s="26"/>
      <c r="C25" s="26"/>
      <c r="D25" s="26"/>
      <c r="E25" s="26"/>
      <c r="F25" s="26"/>
    </row>
    <row r="26" spans="1:6" ht="24" customHeight="1" x14ac:dyDescent="0.25">
      <c r="A26" s="20" t="s">
        <v>9</v>
      </c>
      <c r="B26" s="20"/>
      <c r="C26" s="8" t="str">
        <f>TEXT(IF(C12&lt;&gt;"",TIMEVALUE(C12),0)+IF(C22&lt;&gt;"",TIMEVALUE(C22),0),"[h]:mm")</f>
        <v>12:00</v>
      </c>
      <c r="D26" s="1"/>
      <c r="E26" s="1"/>
      <c r="F26" s="1"/>
    </row>
  </sheetData>
  <mergeCells count="10">
    <mergeCell ref="A1:F1"/>
    <mergeCell ref="A3:F3"/>
    <mergeCell ref="A12:B12"/>
    <mergeCell ref="A13:F13"/>
    <mergeCell ref="A14:F14"/>
    <mergeCell ref="A26:B26"/>
    <mergeCell ref="A22:B22"/>
    <mergeCell ref="A23:F23"/>
    <mergeCell ref="A24:F24"/>
    <mergeCell ref="A25:F25"/>
  </mergeCells>
  <phoneticPr fontId="11" type="noConversion"/>
  <pageMargins left="0.25" right="0.25" top="0.75" bottom="0.75" header="0.3" footer="0.3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showGridLines="0" tabSelected="1" zoomScale="85" zoomScaleNormal="85" workbookViewId="0">
      <selection activeCell="O6" sqref="O6"/>
    </sheetView>
  </sheetViews>
  <sheetFormatPr baseColWidth="10" defaultColWidth="8.7109375" defaultRowHeight="15" x14ac:dyDescent="0.25"/>
  <cols>
    <col min="1" max="3" width="10" customWidth="1"/>
    <col min="4" max="4" width="16" customWidth="1"/>
    <col min="5" max="5" width="52" customWidth="1"/>
    <col min="6" max="6" width="32" customWidth="1"/>
  </cols>
  <sheetData>
    <row r="1" spans="1:6" ht="33.75" customHeight="1" x14ac:dyDescent="0.25">
      <c r="A1" s="25" t="s">
        <v>25</v>
      </c>
      <c r="B1" s="25"/>
      <c r="C1" s="25"/>
      <c r="D1" s="25"/>
      <c r="E1" s="25"/>
      <c r="F1" s="25"/>
    </row>
    <row r="2" spans="1:6" ht="7.5" customHeight="1" x14ac:dyDescent="0.25"/>
    <row r="3" spans="1:6" ht="19.5" customHeight="1" x14ac:dyDescent="0.25">
      <c r="A3" s="24" t="s">
        <v>26</v>
      </c>
      <c r="B3" s="24"/>
      <c r="C3" s="24"/>
      <c r="D3" s="24"/>
      <c r="E3" s="24"/>
      <c r="F3" s="24"/>
    </row>
    <row r="4" spans="1:6" ht="2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38.25" x14ac:dyDescent="0.25">
      <c r="A5" s="9">
        <v>0.34375</v>
      </c>
      <c r="B5" s="9">
        <v>0.40972222222222221</v>
      </c>
      <c r="C5" s="4" t="str">
        <f t="shared" ref="C5:C10" si="0">IF(AND(A5&lt;&gt;"",B5&lt;&gt;""),TEXT(B5-A5,"[h]:mm"),"")</f>
        <v>1:35</v>
      </c>
      <c r="D5" s="17" t="s">
        <v>62</v>
      </c>
      <c r="E5" s="17" t="s">
        <v>108</v>
      </c>
      <c r="F5" s="11"/>
    </row>
    <row r="6" spans="1:6" ht="38.25" x14ac:dyDescent="0.25">
      <c r="A6" s="9">
        <v>0.4201388888888889</v>
      </c>
      <c r="B6" s="9">
        <v>0.52083333333333337</v>
      </c>
      <c r="C6" s="4" t="str">
        <f t="shared" si="0"/>
        <v>2:25</v>
      </c>
      <c r="D6" s="17" t="s">
        <v>62</v>
      </c>
      <c r="E6" s="17" t="s">
        <v>109</v>
      </c>
      <c r="F6" s="17" t="s">
        <v>110</v>
      </c>
    </row>
    <row r="7" spans="1:6" ht="25.5" x14ac:dyDescent="0.25">
      <c r="A7" s="9">
        <v>0.55555555555555558</v>
      </c>
      <c r="B7" s="9">
        <v>0.56944444444444442</v>
      </c>
      <c r="C7" s="4" t="str">
        <f t="shared" si="0"/>
        <v>0:20</v>
      </c>
      <c r="D7" s="17" t="s">
        <v>62</v>
      </c>
      <c r="E7" s="17" t="s">
        <v>111</v>
      </c>
      <c r="F7" s="11"/>
    </row>
    <row r="8" spans="1:6" ht="25.5" x14ac:dyDescent="0.25">
      <c r="A8" s="9">
        <v>0.57291666666666663</v>
      </c>
      <c r="B8" s="9">
        <v>0.625</v>
      </c>
      <c r="C8" s="4" t="str">
        <f t="shared" si="0"/>
        <v>1:15</v>
      </c>
      <c r="D8" s="17" t="s">
        <v>62</v>
      </c>
      <c r="E8" s="17" t="s">
        <v>112</v>
      </c>
      <c r="F8" s="11"/>
    </row>
    <row r="9" spans="1:6" ht="25.5" x14ac:dyDescent="0.25">
      <c r="A9" s="9">
        <v>0.62847222222222221</v>
      </c>
      <c r="B9" s="9">
        <v>0.68402777777777779</v>
      </c>
      <c r="C9" s="4" t="str">
        <f t="shared" si="0"/>
        <v>1:20</v>
      </c>
      <c r="D9" s="17" t="s">
        <v>62</v>
      </c>
      <c r="E9" s="17" t="s">
        <v>113</v>
      </c>
      <c r="F9" s="11"/>
    </row>
    <row r="10" spans="1:6" x14ac:dyDescent="0.25">
      <c r="A10" s="9">
        <v>0.68402777777777779</v>
      </c>
      <c r="B10" s="9">
        <v>0.69444444444444442</v>
      </c>
      <c r="C10" s="4" t="str">
        <f t="shared" si="0"/>
        <v>0:15</v>
      </c>
      <c r="D10" s="17" t="s">
        <v>41</v>
      </c>
      <c r="E10" s="17" t="s">
        <v>57</v>
      </c>
      <c r="F10" s="11"/>
    </row>
    <row r="11" spans="1:6" x14ac:dyDescent="0.25">
      <c r="A11" s="21" t="s">
        <v>7</v>
      </c>
      <c r="B11" s="21"/>
      <c r="C11" s="4" t="str">
        <f>TEXT(IF(C5&lt;&gt;"",TIMEVALUE(C5),0)+IF(C6&lt;&gt;"",TIMEVALUE(C6),0)+IF(C7&lt;&gt;"",TIMEVALUE(C7),0)+IF(C8&lt;&gt;"",TIMEVALUE(C8),0)+IF(C9&lt;&gt;"",TIMEVALUE(C9),0)+IF(C10&lt;&gt;"",TIMEVALUE(C10),0),"[h]:mm")</f>
        <v>7:10</v>
      </c>
      <c r="D11" s="7"/>
      <c r="E11" s="7"/>
      <c r="F11" s="7"/>
    </row>
    <row r="12" spans="1:6" x14ac:dyDescent="0.25">
      <c r="A12" s="19"/>
      <c r="B12" s="19"/>
      <c r="C12" s="19"/>
      <c r="D12" s="19"/>
      <c r="E12" s="19"/>
      <c r="F12" s="19"/>
    </row>
    <row r="13" spans="1:6" ht="19.5" customHeight="1" x14ac:dyDescent="0.25">
      <c r="A13" s="24" t="s">
        <v>27</v>
      </c>
      <c r="B13" s="24"/>
      <c r="C13" s="24"/>
      <c r="D13" s="24"/>
      <c r="E13" s="24"/>
      <c r="F13" s="24"/>
    </row>
    <row r="14" spans="1:6" ht="24" x14ac:dyDescent="0.25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38.25" x14ac:dyDescent="0.25">
      <c r="A15" s="16">
        <v>0.34375</v>
      </c>
      <c r="B15" s="16">
        <v>0.39583333333333331</v>
      </c>
      <c r="C15" s="4" t="str">
        <f t="shared" ref="C15:C18" si="1">IF(AND(A15&lt;&gt;"",B15&lt;&gt;""),TEXT(B15-A15,"[h]:mm"),"")</f>
        <v>1:15</v>
      </c>
      <c r="D15" s="17" t="s">
        <v>62</v>
      </c>
      <c r="E15" s="17" t="s">
        <v>114</v>
      </c>
      <c r="F15" s="17" t="s">
        <v>115</v>
      </c>
    </row>
    <row r="16" spans="1:6" ht="38.25" x14ac:dyDescent="0.25">
      <c r="A16" s="16">
        <v>0.39930555555555558</v>
      </c>
      <c r="B16" s="16">
        <v>0.4375</v>
      </c>
      <c r="C16" s="4" t="str">
        <f t="shared" si="1"/>
        <v>0:55</v>
      </c>
      <c r="D16" s="17" t="s">
        <v>62</v>
      </c>
      <c r="E16" s="17" t="s">
        <v>116</v>
      </c>
      <c r="F16" s="11"/>
    </row>
    <row r="17" spans="1:6" ht="51" x14ac:dyDescent="0.25">
      <c r="A17" s="16">
        <v>0.44097222222222221</v>
      </c>
      <c r="B17" s="16">
        <v>0.52083333333333337</v>
      </c>
      <c r="C17" s="4" t="str">
        <f t="shared" si="1"/>
        <v>1:55</v>
      </c>
      <c r="D17" s="17" t="s">
        <v>62</v>
      </c>
      <c r="E17" s="17" t="s">
        <v>117</v>
      </c>
      <c r="F17" s="17" t="s">
        <v>118</v>
      </c>
    </row>
    <row r="18" spans="1:6" ht="25.5" x14ac:dyDescent="0.25">
      <c r="A18" s="16">
        <v>0.55555555555555558</v>
      </c>
      <c r="B18" s="16">
        <v>0.60416666666666663</v>
      </c>
      <c r="C18" s="4" t="str">
        <f t="shared" si="1"/>
        <v>1:10</v>
      </c>
      <c r="D18" s="17" t="s">
        <v>62</v>
      </c>
      <c r="E18" s="17" t="s">
        <v>119</v>
      </c>
      <c r="F18" s="11"/>
    </row>
    <row r="19" spans="1:6" ht="38.25" x14ac:dyDescent="0.25">
      <c r="A19" s="16">
        <v>0.60763888888888884</v>
      </c>
      <c r="B19" s="16">
        <v>0.65972222222222221</v>
      </c>
      <c r="C19" s="4" t="str">
        <f>IF(AND(A19&lt;&gt;"",B19&lt;&gt;""),TEXT(B19-A19,"[h]:mm"),"")</f>
        <v>1:15</v>
      </c>
      <c r="D19" s="17" t="s">
        <v>42</v>
      </c>
      <c r="E19" s="17" t="s">
        <v>120</v>
      </c>
      <c r="F19" s="17" t="s">
        <v>121</v>
      </c>
    </row>
    <row r="20" spans="1:6" ht="38.25" x14ac:dyDescent="0.25">
      <c r="A20" s="16">
        <v>0.65972222222222221</v>
      </c>
      <c r="B20" s="16">
        <v>0.69444444444444442</v>
      </c>
      <c r="C20" s="4" t="str">
        <f>IF(AND(A20&lt;&gt;"",B20&lt;&gt;""),TEXT(B20-A20,"[h]:mm"),"")</f>
        <v>0:50</v>
      </c>
      <c r="D20" s="17" t="s">
        <v>42</v>
      </c>
      <c r="E20" s="17" t="s">
        <v>122</v>
      </c>
      <c r="F20" s="11"/>
    </row>
    <row r="21" spans="1:6" x14ac:dyDescent="0.25">
      <c r="A21" s="21" t="s">
        <v>7</v>
      </c>
      <c r="B21" s="22"/>
      <c r="C21" s="18" t="str">
        <f>TEXT(IF(C15&lt;&gt;"",TIMEVALUE(C15),0)+IF(C16&lt;&gt;"",TIMEVALUE(C16),0)+IF(C17&lt;&gt;"",TIMEVALUE(C17),0)+IF(C18&lt;&gt;"",TIMEVALUE(C18),0)+IF(C19&lt;&gt;"",TIMEVALUE(C19),0)+IF(C20&lt;&gt;"",TIMEVALUE(C20),0),"[h]:mm")</f>
        <v>7:20</v>
      </c>
      <c r="D21" s="7"/>
      <c r="E21" s="7"/>
      <c r="F21" s="7"/>
    </row>
    <row r="22" spans="1:6" x14ac:dyDescent="0.25">
      <c r="A22" s="19"/>
      <c r="B22" s="19"/>
      <c r="C22" s="19"/>
      <c r="D22" s="19"/>
      <c r="E22" s="19"/>
      <c r="F22" s="19"/>
    </row>
    <row r="23" spans="1:6" ht="19.5" customHeight="1" x14ac:dyDescent="0.25">
      <c r="A23" s="23" t="s">
        <v>28</v>
      </c>
      <c r="B23" s="24"/>
      <c r="C23" s="24"/>
      <c r="D23" s="24"/>
      <c r="E23" s="24"/>
      <c r="F23" s="24"/>
    </row>
    <row r="24" spans="1:6" ht="24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</row>
    <row r="25" spans="1:6" ht="18" customHeight="1" x14ac:dyDescent="0.25">
      <c r="A25" s="3"/>
      <c r="B25" s="3"/>
      <c r="C25" s="4" t="str">
        <f t="shared" ref="C25:C30" si="2">IF(AND(A25&lt;&gt;"",B25&lt;&gt;""),TEXT(B25-A25,"[h]:mm"),"")</f>
        <v/>
      </c>
      <c r="D25" s="5"/>
      <c r="E25" s="6"/>
      <c r="F25" s="6"/>
    </row>
    <row r="26" spans="1:6" ht="18" customHeight="1" x14ac:dyDescent="0.25">
      <c r="A26" s="3"/>
      <c r="B26" s="3"/>
      <c r="C26" s="4" t="str">
        <f t="shared" si="2"/>
        <v/>
      </c>
      <c r="D26" s="5"/>
      <c r="E26" s="6"/>
      <c r="F26" s="6"/>
    </row>
    <row r="27" spans="1:6" ht="18" customHeight="1" x14ac:dyDescent="0.25">
      <c r="A27" s="3"/>
      <c r="B27" s="3"/>
      <c r="C27" s="4" t="str">
        <f t="shared" si="2"/>
        <v/>
      </c>
      <c r="D27" s="5"/>
      <c r="E27" s="6"/>
      <c r="F27" s="6"/>
    </row>
    <row r="28" spans="1:6" ht="18" customHeight="1" x14ac:dyDescent="0.25">
      <c r="A28" s="3"/>
      <c r="B28" s="3"/>
      <c r="C28" s="4" t="str">
        <f t="shared" si="2"/>
        <v/>
      </c>
      <c r="D28" s="5"/>
      <c r="E28" s="6"/>
      <c r="F28" s="6"/>
    </row>
    <row r="29" spans="1:6" ht="18" customHeight="1" x14ac:dyDescent="0.25">
      <c r="A29" s="3"/>
      <c r="B29" s="3"/>
      <c r="C29" s="4" t="str">
        <f t="shared" si="2"/>
        <v/>
      </c>
      <c r="D29" s="5"/>
      <c r="E29" s="6"/>
      <c r="F29" s="6"/>
    </row>
    <row r="30" spans="1:6" ht="18" customHeight="1" x14ac:dyDescent="0.25">
      <c r="A30" s="3"/>
      <c r="B30" s="3"/>
      <c r="C30" s="4" t="str">
        <f t="shared" si="2"/>
        <v/>
      </c>
      <c r="D30" s="5"/>
      <c r="E30" s="6"/>
      <c r="F30" s="6"/>
    </row>
    <row r="31" spans="1:6" ht="18" customHeight="1" x14ac:dyDescent="0.25">
      <c r="A31" s="21" t="s">
        <v>7</v>
      </c>
      <c r="B31" s="21"/>
      <c r="C31" s="4" t="str">
        <f>TEXT(IF(C25&lt;&gt;"",TIMEVALUE(C25),0)+IF(C26&lt;&gt;"",TIMEVALUE(C26),0)+IF(C27&lt;&gt;"",TIMEVALUE(C27),0)+IF(C28&lt;&gt;"",TIMEVALUE(C28),0)+IF(C29&lt;&gt;"",TIMEVALUE(C29),0)+IF(C30&lt;&gt;"",TIMEVALUE(C30),0),"[h]:mm")</f>
        <v>0:00</v>
      </c>
      <c r="D31" s="7"/>
      <c r="E31" s="7"/>
      <c r="F31" s="7"/>
    </row>
    <row r="32" spans="1:6" ht="6" customHeight="1" x14ac:dyDescent="0.25">
      <c r="A32" s="19"/>
      <c r="B32" s="19"/>
      <c r="C32" s="19"/>
      <c r="D32" s="19"/>
      <c r="E32" s="19"/>
      <c r="F32" s="19"/>
    </row>
    <row r="33" spans="1:6" ht="24" customHeight="1" x14ac:dyDescent="0.25">
      <c r="A33" s="20" t="s">
        <v>9</v>
      </c>
      <c r="B33" s="20"/>
      <c r="C33" s="8" t="str">
        <f>TEXT(IF(C11&lt;&gt;"",TIMEVALUE(C11),0)+IF(C21&lt;&gt;"",TIMEVALUE(C21),0)+IF(C31&lt;&gt;"",TIMEVALUE(C31),0),"[h]:mm")</f>
        <v>14:30</v>
      </c>
      <c r="D33" s="1"/>
      <c r="E33" s="1"/>
      <c r="F33" s="1"/>
    </row>
  </sheetData>
  <mergeCells count="11">
    <mergeCell ref="A1:F1"/>
    <mergeCell ref="A3:F3"/>
    <mergeCell ref="A11:B11"/>
    <mergeCell ref="A12:F12"/>
    <mergeCell ref="A13:F13"/>
    <mergeCell ref="A32:F32"/>
    <mergeCell ref="A33:B33"/>
    <mergeCell ref="A21:B21"/>
    <mergeCell ref="A22:F22"/>
    <mergeCell ref="A23:F23"/>
    <mergeCell ref="A31:B31"/>
  </mergeCells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Semaine 1</vt:lpstr>
      <vt:lpstr>Semaine 2</vt:lpstr>
      <vt:lpstr>Semaine 3</vt:lpstr>
      <vt:lpstr>Semaine 4</vt:lpstr>
      <vt:lpstr>Semaine 5</vt:lpstr>
      <vt:lpstr>'Semaine 3'!Zone_d_impression</vt:lpstr>
      <vt:lpstr>'Semaine 4'!Zone_d_impression</vt:lpstr>
      <vt:lpstr>'Semaine 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Jimmy Lam</cp:lastModifiedBy>
  <cp:revision>0</cp:revision>
  <cp:lastPrinted>2026-05-19T14:35:42Z</cp:lastPrinted>
  <dcterms:created xsi:type="dcterms:W3CDTF">2026-04-24T07:14:55Z</dcterms:created>
  <dcterms:modified xsi:type="dcterms:W3CDTF">2026-05-19T14:35:43Z</dcterms:modified>
  <dc:language>en-US</dc:language>
</cp:coreProperties>
</file>