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k74hjc\Desktop\TPI\Documents\"/>
    </mc:Choice>
  </mc:AlternateContent>
  <xr:revisionPtr revIDLastSave="0" documentId="13_ncr:1_{0D314508-5AB1-4ECE-92D1-75E1DC407E2E}" xr6:coauthVersionLast="47" xr6:coauthVersionMax="47" xr10:uidLastSave="{00000000-0000-0000-0000-000000000000}"/>
  <bookViews>
    <workbookView xWindow="-120" yWindow="-120" windowWidth="29040" windowHeight="15720" tabRatio="500" activeTab="4" xr2:uid="{00000000-000D-0000-FFFF-FFFF00000000}"/>
  </bookViews>
  <sheets>
    <sheet name="Semaine 1" sheetId="2" r:id="rId1"/>
    <sheet name="Semaine 2" sheetId="3" r:id="rId2"/>
    <sheet name="Semaine 3" sheetId="4" r:id="rId3"/>
    <sheet name="Semaine 4" sheetId="5" r:id="rId4"/>
    <sheet name="Semaine 5" sheetId="6" r:id="rId5"/>
  </sheets>
  <definedNames>
    <definedName name="_xlnm.Print_Area" localSheetId="2">'Semaine 3'!$A$1:$F$43</definedName>
    <definedName name="_xlnm.Print_Area" localSheetId="3">'Semaine 4'!$A$1:$F$26</definedName>
    <definedName name="_xlnm.Print_Area" localSheetId="4">'Semaine 5'!$A$1:$F$33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6" l="1"/>
  <c r="C20" i="6"/>
  <c r="C16" i="6"/>
  <c r="C17" i="6"/>
  <c r="C18" i="6"/>
  <c r="C16" i="5"/>
  <c r="C17" i="5"/>
  <c r="C18" i="5"/>
  <c r="C19" i="5"/>
  <c r="C20" i="5"/>
  <c r="C21" i="5"/>
  <c r="C11" i="5"/>
  <c r="C5" i="5"/>
  <c r="C6" i="5"/>
  <c r="C7" i="5"/>
  <c r="C8" i="5"/>
  <c r="C9" i="5"/>
  <c r="C10" i="5"/>
  <c r="C15" i="4"/>
  <c r="C20" i="3"/>
  <c r="C10" i="2"/>
  <c r="C6" i="2"/>
  <c r="C7" i="2"/>
  <c r="C8" i="2"/>
  <c r="C9" i="2"/>
  <c r="C30" i="6"/>
  <c r="C29" i="6"/>
  <c r="C28" i="6"/>
  <c r="C27" i="6"/>
  <c r="C26" i="6"/>
  <c r="C25" i="6"/>
  <c r="C15" i="6"/>
  <c r="C10" i="6"/>
  <c r="C9" i="6"/>
  <c r="C8" i="6"/>
  <c r="C7" i="6"/>
  <c r="C6" i="6"/>
  <c r="C5" i="6"/>
  <c r="C40" i="4"/>
  <c r="C39" i="4"/>
  <c r="C38" i="4"/>
  <c r="C37" i="4"/>
  <c r="C36" i="4"/>
  <c r="C35" i="4"/>
  <c r="C30" i="4"/>
  <c r="C29" i="4"/>
  <c r="C28" i="4"/>
  <c r="C27" i="4"/>
  <c r="C26" i="4"/>
  <c r="C25" i="4"/>
  <c r="C20" i="4"/>
  <c r="C19" i="4"/>
  <c r="C18" i="4"/>
  <c r="C17" i="4"/>
  <c r="C16" i="4"/>
  <c r="C10" i="4"/>
  <c r="C9" i="4"/>
  <c r="C8" i="4"/>
  <c r="C7" i="4"/>
  <c r="C6" i="4"/>
  <c r="C5" i="4"/>
  <c r="C41" i="3"/>
  <c r="C40" i="3"/>
  <c r="C39" i="3"/>
  <c r="C38" i="3"/>
  <c r="C37" i="3"/>
  <c r="C36" i="3"/>
  <c r="C31" i="3"/>
  <c r="C30" i="3"/>
  <c r="C29" i="3"/>
  <c r="C28" i="3"/>
  <c r="C27" i="3"/>
  <c r="C26" i="3"/>
  <c r="C21" i="3"/>
  <c r="C19" i="3"/>
  <c r="C18" i="3"/>
  <c r="C17" i="3"/>
  <c r="C16" i="3"/>
  <c r="C15" i="3"/>
  <c r="C10" i="3"/>
  <c r="C9" i="3"/>
  <c r="C8" i="3"/>
  <c r="C7" i="3"/>
  <c r="C6" i="3"/>
  <c r="C5" i="3"/>
  <c r="C20" i="2"/>
  <c r="C19" i="2"/>
  <c r="C18" i="2"/>
  <c r="C17" i="2"/>
  <c r="C16" i="2"/>
  <c r="C15" i="2"/>
  <c r="C21" i="2" s="1"/>
  <c r="C5" i="2"/>
  <c r="C21" i="6" l="1"/>
  <c r="C11" i="6"/>
  <c r="C12" i="5"/>
  <c r="C22" i="5"/>
  <c r="C41" i="4"/>
  <c r="C31" i="4"/>
  <c r="C21" i="4"/>
  <c r="C11" i="4"/>
  <c r="C32" i="3"/>
  <c r="C22" i="3"/>
  <c r="C11" i="2"/>
  <c r="C23" i="2" s="1"/>
  <c r="C42" i="3"/>
  <c r="C11" i="3"/>
  <c r="C31" i="6"/>
  <c r="C33" i="6" l="1"/>
  <c r="C26" i="5"/>
  <c r="C43" i="4"/>
  <c r="C44" i="3"/>
</calcChain>
</file>

<file path=xl/sharedStrings.xml><?xml version="1.0" encoding="utf-8"?>
<sst xmlns="http://schemas.openxmlformats.org/spreadsheetml/2006/main" count="312" uniqueCount="130">
  <si>
    <t>TPI - Journal de travail | Semaine 1 - Jeudi 23 - Vendredi 24 avril 2026</t>
  </si>
  <si>
    <t>H debut</t>
  </si>
  <si>
    <t>H fin</t>
  </si>
  <si>
    <t>H effectives</t>
  </si>
  <si>
    <t>Categorie</t>
  </si>
  <si>
    <t>Tache realisee</t>
  </si>
  <si>
    <t>Remarques</t>
  </si>
  <si>
    <t>Total du jour</t>
  </si>
  <si>
    <t>Ve 24.04.2026 - Vendredi</t>
  </si>
  <si>
    <t>TOTAL DE LA SEMAINE</t>
  </si>
  <si>
    <t>TPI - Journal de travail | Semaine 2 - Lundi 27 avril - Vendredi 1er mai 2026</t>
  </si>
  <si>
    <t>Lu 27.04.2026 - Lundi</t>
  </si>
  <si>
    <t>Ma 28.04.2026 - Mardi</t>
  </si>
  <si>
    <t>Je 30.04.2026 - Jeudi</t>
  </si>
  <si>
    <t>Ve 01.05.2026 - Vendredi</t>
  </si>
  <si>
    <t>TPI - Journal de travail | Semaine 3 - Lundi 4 - Vendredi 8 mai 2026</t>
  </si>
  <si>
    <t>Lu 04.05.2026 - Lundi</t>
  </si>
  <si>
    <t>Ma 05.05.2026 - Mardi</t>
  </si>
  <si>
    <t>Je 07.05.2026 - Jeudi</t>
  </si>
  <si>
    <t>Ve 08.05.2026 - Vendredi</t>
  </si>
  <si>
    <t>TPI - Journal de travail | Semaine 4 - Lundi 11 - Vendredi 15 mai 2026 (semaine reduite)</t>
  </si>
  <si>
    <t>Lu 11.05.2026 - Lundi</t>
  </si>
  <si>
    <t>Ma 12.05.2026 - Mardi</t>
  </si>
  <si>
    <t>Je 14.05.2026 - Jeudi - Conge</t>
  </si>
  <si>
    <t>Ve 15.05.2026 - Vendredi - Conge</t>
  </si>
  <si>
    <t>TPI - Journal de travail | Semaine 5 - Lundi 18 - Jeudi 21 mai 2026 (fin du TPI)</t>
  </si>
  <si>
    <t>Lu 18.05.2026 - Lundi</t>
  </si>
  <si>
    <t>Ma 19.05.2026 - Mardi</t>
  </si>
  <si>
    <r>
      <t xml:space="preserve">Je 21.05.2026 - </t>
    </r>
    <r>
      <rPr>
        <b/>
        <sz val="10"/>
        <color rgb="FFFFFFFF"/>
        <rFont val="Arial"/>
        <family val="2"/>
      </rPr>
      <t>Jeudi</t>
    </r>
  </si>
  <si>
    <t>Entretien</t>
  </si>
  <si>
    <t>Plannification</t>
  </si>
  <si>
    <t>Entretien avec l'expert Bernard Oberson pour la distribution du cahier des charges, prise de connaissance de ce dernier</t>
  </si>
  <si>
    <t>Brainstorming sur quelle méthode de plannification va etre choisie, quelles sont les fonctionnalités a développé globalement.</t>
  </si>
  <si>
    <t>Créeation du fichier excel et réflexion sur combien de temps pourraient prendre l'implémentation des fonctionnalités</t>
  </si>
  <si>
    <t>Remplissage du planning avec les fonctionnalités a implémenter</t>
  </si>
  <si>
    <t>Mail</t>
  </si>
  <si>
    <t>Envoie de la plannification initial aux experts ainsi qu'au chef de projet par mail.</t>
  </si>
  <si>
    <t>Je suis arrivé en retard à cause d'un grave accident sur la route.</t>
  </si>
  <si>
    <t>Analyse</t>
  </si>
  <si>
    <t xml:space="preserve">Rédaction des retours des experts par rapport à la plannification initial </t>
  </si>
  <si>
    <t>Correction des dates de la plannification initial ainsi que la visites des experts</t>
  </si>
  <si>
    <t>Journal de travail</t>
  </si>
  <si>
    <t>Documentation</t>
  </si>
  <si>
    <t xml:space="preserve">Création de la documentation et rédaction des points : resumé, introduction &amp; contexte du projet </t>
  </si>
  <si>
    <t>Création du journal de travail, rédaction de ce dernier</t>
  </si>
  <si>
    <t>Envoie du rendu du vendredi du lien github par mail.</t>
  </si>
  <si>
    <t>Rédaction de la documentation sur le point "Analyse des besoins" et délimitation du projet</t>
  </si>
  <si>
    <t>Création des "chapitres" de la documentation. Création de la table des matières</t>
  </si>
  <si>
    <t>Remplissage du journal de travail de ce matin</t>
  </si>
  <si>
    <t>Conception</t>
  </si>
  <si>
    <t>Création du schéma entité-relation sur draw.io (tables, attributs, relations entre entités)</t>
  </si>
  <si>
    <t>Création du diagramme de flux de l'application sur draw.io (flux d'authentification, dashboards, actions utilisateur)</t>
  </si>
  <si>
    <t>Rédaction des exigences fonctionnelles (EF-01 à EF-06) dans la documentation</t>
  </si>
  <si>
    <t>Rédaction des exigences non fonctionnelles (ENF-01) dans la documentation</t>
  </si>
  <si>
    <t>Amélioration du diagramme de flux sur draw.io, séparation des dashboards Admin et Utilisateur standard</t>
  </si>
  <si>
    <t>Création des maquettes (wireframes) de l'application avec l'aide de l'IA</t>
  </si>
  <si>
    <t>Rédaction de la déclaration d'utilisation de l'IA et structuration des annexes (glossaire, dépôt Git, sources)</t>
  </si>
  <si>
    <t>Remplissage du journal de travail</t>
  </si>
  <si>
    <t>Envoi du rendu du mardi aux experts et au chef de projet par mail</t>
  </si>
  <si>
    <t>Mail de rendu</t>
  </si>
  <si>
    <t>Amélioration de la maquette UI/UX</t>
  </si>
  <si>
    <t>Lecture de la documentation Supabase et streamlit pour la reprise (pour me rafraichir la mémoire)</t>
  </si>
  <si>
    <t>Implémentation</t>
  </si>
  <si>
    <t>Initialisation de la connexion Supabase</t>
  </si>
  <si>
    <t>L'interface Supabase a changé, la configuration a pris plus de temps que prévu</t>
  </si>
  <si>
    <t>Création de la structure des fichiers du projet</t>
  </si>
  <si>
    <t>Revue du fonctionnement de Streamlit et tests de composants</t>
  </si>
  <si>
    <t>Visionnage de vidéos YouTube sur l'intégration Supabase avec Python (authentification, requêtes)</t>
  </si>
  <si>
    <t>Prise de notes et réflexion sur la structure des pages Streamlit à implémenter</t>
  </si>
  <si>
    <t>Push du repo github, relecture et envoie du mail de rendu</t>
  </si>
  <si>
    <t>Je suis arrivé en retard car je me suis rendormi</t>
  </si>
  <si>
    <t>Correction des imports / renommage fichiers</t>
  </si>
  <si>
    <t>Système d'authentification (bcrypt, session, cookies, role), ajout des utilisateurs dans la db</t>
  </si>
  <si>
    <t>Développement de la structure de base de la page equipments.py : header avec titre, colonnes, boutons d'action (CSV, Scan, Add device)</t>
  </si>
  <si>
    <t>Développement du formulaire d'ajout manuel via st.dialog : 10 champs de saisie, soumission avec gestion d'erreur try/except. Débogage de l'erreur de virgules trailing (tuples Python au lieu de strings)</t>
  </si>
  <si>
    <t>Débogage de l'erreur de type integer côté Supabase : correction de la conversion des champs optionnels vides en None (warranty_months, assigned_user_id, purchase_date)</t>
  </si>
  <si>
    <t>Développement de la barre de filtres (type, statut, tri warranty) et du bouton Reset. Implémentation de la logique de filtrage cumulatif par list comprehension</t>
  </si>
  <si>
    <t>Développement du dashboard : métriques par statut avec st.metric, graphique à barres (répartition par type) et diagramme circulaire (répartition par statut) avec Plotly Express</t>
  </si>
  <si>
    <t>Développement de l'affichage des équipements : cards HTML custom via st.markdown avec badges de statut colorés dynamiquement selon un dictionnaire de couleurs</t>
  </si>
  <si>
    <t>Rédaction des sections front-end, back-end, concept de rôles et authentification dans la documentation TPI</t>
  </si>
  <si>
    <t>Je 23.04.2026 - Jeudi</t>
  </si>
  <si>
    <t>Gestion des équipements : implémentation du reset des filtres avec session_state et correction des selectbox</t>
  </si>
  <si>
    <t>Gestion des équipements : création des cards cliquables avec st.columns et bouton info par device</t>
  </si>
  <si>
    <t>Gestion des équipements : implémentation du dialog show_device_info et correction de bugs (TypeError, len())</t>
  </si>
  <si>
    <t xml:space="preserve">Modification et amélioration de la fonction global search pour les équipements dans la database. </t>
  </si>
  <si>
    <t>Gestion des équipements : implémentation deglobal search avec text_input et requête .or_() sur Supabase</t>
  </si>
  <si>
    <t>Revue</t>
  </si>
  <si>
    <t>Discussion avec le chef de projet pour voir si tout allait bien ou non.</t>
  </si>
  <si>
    <t>Dashboard : implémentation des métriques, graphiques Plotly et cards HTML pour équipements et utilisateurs</t>
  </si>
  <si>
    <t>Navigation : correction erreur st.page_link pour rôle standard et affichage du username connecté dans la sidebar</t>
  </si>
  <si>
    <t>Rédaction des sources et références (annexes) et complétion du journal de travail</t>
  </si>
  <si>
    <t>Modification des fonctions get user info et correction des bugs d'affichage du nombre de users affichés.</t>
  </si>
  <si>
    <t>Développement</t>
  </si>
  <si>
    <t>Analyse et amélioration de la fonction update_user : passage au filtrage par id immuable, ajout d'une valeur de retour et d'une gestion d'erreur explicite</t>
  </si>
  <si>
    <t>Débogage</t>
  </si>
  <si>
    <t>Identification du bug TypeError 'list indices must be integers or slices, not str' dans db_users.py : retour Supabase sous forme de liste même pour un seul résultat</t>
  </si>
  <si>
    <t>Correction du bug via user[0]["id"] et du passage incorrect de new_username dans edit_user() (pages/users.py), tests de validation des corrections</t>
  </si>
  <si>
    <t>Remplissage du journal de travail de la matinée</t>
  </si>
  <si>
    <t>Visite du 2ème expert : présentation de l'avancement du projet et échanges</t>
  </si>
  <si>
    <t>Correction de la fonction de modification d'un utilisateur (username et role) : gestion du retour liste Supabase, filtrage par id, tests</t>
  </si>
  <si>
    <t>Relecture</t>
  </si>
  <si>
    <t>Amélioration de la page users.py : analyse du flux de données entre la boucle for, show_user_info() et edit_user() via st.session_state</t>
  </si>
  <si>
    <t>Implémentation du bouton de confirmation de suppression d'un utilisateur avec flag dans st.session_state</t>
  </si>
  <si>
    <t>Implémentation du bouton CSV : fonction generate_csv() avec io.StringIO et csv.DictWriter, export des équipements filtrés</t>
  </si>
  <si>
    <t>Correction du bug double bouton CSV causé par st.empty() : déplacement du st.download_button après le bloc de filtres pour accéder à filtred_equipments</t>
  </si>
  <si>
    <t>Remplissage du journal de travail et ajout de commentaires en anglais sur la fonction generate_csv()</t>
  </si>
  <si>
    <t>Relecture du code, de ce qui est fait, de ce qui doit etre fait et des améliorations possibles</t>
  </si>
  <si>
    <t>Amélioration de l'affichage UI de show_device_info : mise en page markdown avec grille 2 colonnes, serial number sous le nom, badge de statut coloré</t>
  </si>
  <si>
    <t>Finalisation de la page equipments.py : tri par garantie via sorted() et relativedelta, affichage des jours restants avec code couleur</t>
  </si>
  <si>
    <t>Implémentation du bouton Reset des filtres via on_click, correction du bug multiselect (list → string), correction sérialisation date (.isoformat())</t>
  </si>
  <si>
    <t>Aide IA : débogage erreurs de type</t>
  </si>
  <si>
    <t>Implémentation de l'export CSV en mémoire via io.StringIO, tests de téléchargement avec filtres actifs</t>
  </si>
  <si>
    <t>Implémentation de la page users.py : affichage, filtres, dialogs add/edit/show, gestion des rôles</t>
  </si>
  <si>
    <t>Mise en place de db_users.py avec hachage bcrypt, tests de création et modification d'utilisateurs</t>
  </si>
  <si>
    <t>Création de utils/logger.py : fonction log_action() centralisée. Intégration dans db_equipements.py (create, update avec détection des champs modifiés, delete)</t>
  </si>
  <si>
    <t>Aide IA : structure du système de logs</t>
  </si>
  <si>
    <t>Intégration des logs dans db_users.py (create_user, update_user, update_password, delete_user). Mise à jour de la contrainte CHECK de la table activity_logs</t>
  </si>
  <si>
    <t>Correction de plusieurs anomalies : user_id null en session (user[0]["id"]), equipment_id manquant dans les logs, double clé étrangère (DROP COLUMN). Implémentation page logs.py</t>
  </si>
  <si>
    <t>Aide IA : débogage erreurs PostgREST</t>
  </si>
  <si>
    <t>Affichage des logs dans les fiches équipement et utilisateur. Tests complets du système de journalisation</t>
  </si>
  <si>
    <t>Rédaction des sections Implémentation (back-end, front-end, journalisation, Git) et Tests (environnement, 20 cas de test, résultats et corrections)</t>
  </si>
  <si>
    <t>Aide IA : rédaction et structuration</t>
  </si>
  <si>
    <t>Rédaction des sections Manuel d'exploitation, Manuel d'utilisation, Conclusion personnelle. Envoi du rendu aux experts et au chef de projet</t>
  </si>
  <si>
    <t>Corrections de la documentation : suppression de la phrase informelle sur la connexion dans la Conclusion, reformulation du ton familier dans l'installation et la page Equipements. Mise à jour de la table des matières</t>
  </si>
  <si>
    <t>Correction bug OCR double-rendu : remplacement du widget camera_input or file_uploader par un radio button. Correction auth.py : ajout log login_failed, déplacement import log_action en haut du fichier. Correction users.py : require_role(["admin"]) au lieu de require_role("admin")</t>
  </si>
  <si>
    <t>IA utilisée pour identifier la cause du double-rendu Streamlit et du UnboundLocalError dans auth.py</t>
  </si>
  <si>
    <t>Relecture complète de la documentation, vérification de la cohérence avec le code final. Ajout de la section suivi des risques dans la Partie 1. Export PDF et vérification finale du rendu</t>
  </si>
  <si>
    <t>Remplissage et finalisation du journal de travail — dernier jour du TPI</t>
  </si>
  <si>
    <t>Corrections de la documentation : déplacement du Résumé en tête de Partie 2, déplacement de la Conclusion personnelle dans la Partie 1</t>
  </si>
  <si>
    <t>Rendu du TPI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</si>
</sst>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h:mm:ss"/>
  </numFmts>
  <fonts count="13" x14ac:knownFonts="1">
    <font>
      <sz val="11"/>
      <color theme="1"/>
      <name val="Calibri"/>
      <family val="2"/>
      <charset val="1"/>
    </font>
    <font>
      <b/>
      <sz val="9"/>
      <color rgb="FFFFFFFF"/>
      <name val="Arial"/>
      <charset val="1"/>
    </font>
    <font>
      <b/>
      <sz val="10"/>
      <color rgb="FFFFFFFF"/>
      <name val="Arial"/>
      <charset val="1"/>
    </font>
    <font>
      <b/>
      <sz val="11"/>
      <color rgb="FFFFFFFF"/>
      <name val="Arial"/>
      <charset val="1"/>
    </font>
    <font>
      <b/>
      <sz val="13"/>
      <color rgb="FFFFFFFF"/>
      <name val="Arial"/>
      <charset val="1"/>
    </font>
    <font>
      <sz val="10"/>
      <color rgb="FF1E2A38"/>
      <name val="Arial"/>
      <charset val="1"/>
    </font>
    <font>
      <b/>
      <sz val="10"/>
      <color rgb="FF1A7FA1"/>
      <name val="Arial"/>
      <charset val="1"/>
    </font>
    <font>
      <b/>
      <sz val="12"/>
      <color rgb="FF1A7FA1"/>
      <name val="Arial"/>
      <charset val="1"/>
    </font>
    <font>
      <i/>
      <sz val="9"/>
      <color rgb="FF922B21"/>
      <name val="Arial"/>
      <charset val="1"/>
    </font>
    <font>
      <b/>
      <sz val="10"/>
      <color rgb="FFFFFFFF"/>
      <name val="Arial"/>
      <family val="2"/>
    </font>
    <font>
      <sz val="10"/>
      <color rgb="FF1E2A38"/>
      <name val="Arial"/>
      <family val="2"/>
    </font>
    <font>
      <sz val="8"/>
      <name val="Calibri"/>
      <family val="2"/>
      <charset val="1"/>
    </font>
    <font>
      <b/>
      <sz val="10"/>
      <color rgb="FF1A7FA1"/>
      <name val="Arial"/>
      <family val="2"/>
    </font>
  </fonts>
  <fills count="9">
    <fill>
      <patternFill patternType="none"/>
    </fill>
    <fill>
      <patternFill patternType="gray125"/>
    </fill>
    <fill>
      <patternFill patternType="solid">
        <fgColor rgb="FF1E2A38"/>
        <bgColor rgb="FF253444"/>
      </patternFill>
    </fill>
    <fill>
      <patternFill patternType="solid">
        <fgColor rgb="FF2E86AB"/>
        <bgColor rgb="FF1A7FA1"/>
      </patternFill>
    </fill>
    <fill>
      <patternFill patternType="solid">
        <fgColor rgb="FFFFFDE7"/>
        <bgColor rgb="FFFFFFFF"/>
      </patternFill>
    </fill>
    <fill>
      <patternFill patternType="solid">
        <fgColor rgb="FFEAF4FB"/>
        <bgColor rgb="FFECF0F1"/>
      </patternFill>
    </fill>
    <fill>
      <patternFill patternType="solid">
        <fgColor rgb="FFECF0F1"/>
        <bgColor rgb="FFEAF4FB"/>
      </patternFill>
    </fill>
    <fill>
      <patternFill patternType="solid">
        <fgColor rgb="FFFADBD8"/>
        <bgColor rgb="FFECF0F1"/>
      </patternFill>
    </fill>
    <fill>
      <patternFill patternType="solid">
        <fgColor rgb="FFFFFDE7"/>
      </patternFill>
    </fill>
  </fills>
  <borders count="6">
    <border>
      <left/>
      <right/>
      <top/>
      <bottom/>
      <diagonal/>
    </border>
    <border>
      <left style="thin">
        <color rgb="FFBDC3C7"/>
      </left>
      <right style="thin">
        <color rgb="FFBDC3C7"/>
      </right>
      <top style="thin">
        <color rgb="FFBDC3C7"/>
      </top>
      <bottom style="thin">
        <color rgb="FFBDC3C7"/>
      </bottom>
      <diagonal/>
    </border>
    <border>
      <left style="medium">
        <color rgb="FF888888"/>
      </left>
      <right/>
      <top style="medium">
        <color rgb="FF888888"/>
      </top>
      <bottom style="medium">
        <color rgb="FF888888"/>
      </bottom>
      <diagonal/>
    </border>
    <border>
      <left style="medium">
        <color rgb="FF888888"/>
      </left>
      <right style="medium">
        <color rgb="FF888888"/>
      </right>
      <top style="medium">
        <color rgb="FF888888"/>
      </top>
      <bottom style="medium">
        <color rgb="FF888888"/>
      </bottom>
      <diagonal/>
    </border>
    <border>
      <left style="thin">
        <color rgb="FFBDC3C7"/>
      </left>
      <right/>
      <top style="thin">
        <color rgb="FFBDC3C7"/>
      </top>
      <bottom style="thin">
        <color rgb="FFBDC3C7"/>
      </bottom>
      <diagonal/>
    </border>
    <border>
      <left/>
      <right style="thin">
        <color rgb="FFBDC3C7"/>
      </right>
      <top style="thin">
        <color rgb="FFBDC3C7"/>
      </top>
      <bottom style="thin">
        <color rgb="FFBDC3C7"/>
      </bottom>
      <diagonal/>
    </border>
  </borders>
  <cellStyleXfs count="1">
    <xf numFmtId="0" fontId="0" fillId="0" borderId="0"/>
  </cellStyleXfs>
  <cellXfs count="28">
    <xf numFmtId="0" fontId="0" fillId="0" borderId="0" xfId="0"/>
    <xf numFmtId="0" fontId="0" fillId="2" borderId="3" xfId="0" applyFill="1" applyBorder="1"/>
    <xf numFmtId="0" fontId="1" fillId="2" borderId="1" xfId="0" applyFont="1" applyFill="1" applyBorder="1" applyAlignment="1">
      <alignment horizontal="center" vertical="center" wrapText="1"/>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4" borderId="1" xfId="0" applyFont="1" applyFill="1" applyBorder="1" applyAlignment="1">
      <alignment horizontal="left" vertical="center"/>
    </xf>
    <xf numFmtId="0" fontId="5" fillId="4" borderId="1" xfId="0" applyFont="1" applyFill="1" applyBorder="1" applyAlignment="1">
      <alignment horizontal="left" vertical="center" wrapText="1"/>
    </xf>
    <xf numFmtId="0" fontId="0" fillId="5" borderId="1" xfId="0" applyFill="1" applyBorder="1"/>
    <xf numFmtId="0" fontId="7" fillId="5" borderId="3" xfId="0" applyFont="1" applyFill="1" applyBorder="1" applyAlignment="1">
      <alignment horizontal="center" vertical="center"/>
    </xf>
    <xf numFmtId="20" fontId="5" fillId="4" borderId="1" xfId="0" applyNumberFormat="1" applyFont="1" applyFill="1" applyBorder="1" applyAlignment="1">
      <alignment horizontal="center" vertical="center"/>
    </xf>
    <xf numFmtId="0" fontId="10" fillId="4" borderId="1" xfId="0" applyFont="1" applyFill="1" applyBorder="1" applyAlignment="1">
      <alignment horizontal="left" vertical="center"/>
    </xf>
    <xf numFmtId="0" fontId="10" fillId="4" borderId="1" xfId="0" applyFont="1" applyFill="1" applyBorder="1" applyAlignment="1">
      <alignment horizontal="left" vertical="center" wrapText="1"/>
    </xf>
    <xf numFmtId="21" fontId="5" fillId="4" borderId="1" xfId="0" applyNumberFormat="1" applyFont="1" applyFill="1" applyBorder="1" applyAlignment="1">
      <alignment horizontal="center" vertical="center"/>
    </xf>
    <xf numFmtId="20" fontId="10" fillId="4" borderId="4" xfId="0" applyNumberFormat="1" applyFont="1" applyFill="1" applyBorder="1" applyAlignment="1">
      <alignment horizontal="center" vertical="center"/>
    </xf>
    <xf numFmtId="20" fontId="10" fillId="4" borderId="1" xfId="0" applyNumberFormat="1" applyFont="1" applyFill="1" applyBorder="1" applyAlignment="1">
      <alignment horizontal="center" vertical="center"/>
    </xf>
    <xf numFmtId="164" fontId="5" fillId="4" borderId="1" xfId="0" applyNumberFormat="1" applyFont="1" applyFill="1" applyBorder="1" applyAlignment="1">
      <alignment horizontal="center" vertical="center"/>
    </xf>
    <xf numFmtId="20" fontId="10" fillId="8" borderId="1" xfId="0" applyNumberFormat="1" applyFont="1" applyFill="1" applyBorder="1" applyAlignment="1">
      <alignment horizontal="left" vertical="center" wrapText="1"/>
    </xf>
    <xf numFmtId="0" fontId="10" fillId="8" borderId="1" xfId="0" applyFont="1" applyFill="1" applyBorder="1" applyAlignment="1">
      <alignment horizontal="left" vertical="center" wrapText="1"/>
    </xf>
    <xf numFmtId="0" fontId="12" fillId="5" borderId="1" xfId="0" applyFont="1" applyFill="1" applyBorder="1" applyAlignment="1">
      <alignment horizontal="center" vertical="center"/>
    </xf>
    <xf numFmtId="165" fontId="10" fillId="4" borderId="1" xfId="0" applyNumberFormat="1" applyFont="1" applyFill="1" applyBorder="1" applyAlignment="1">
      <alignment horizontal="center" vertical="center"/>
    </xf>
    <xf numFmtId="0" fontId="0" fillId="6" borderId="0" xfId="0" applyFill="1"/>
    <xf numFmtId="0" fontId="3" fillId="2" borderId="2"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5" xfId="0" applyFont="1" applyFill="1" applyBorder="1" applyAlignment="1">
      <alignment horizontal="center" vertical="center"/>
    </xf>
    <xf numFmtId="0" fontId="9" fillId="3" borderId="4" xfId="0" applyFont="1" applyFill="1" applyBorder="1" applyAlignment="1">
      <alignment horizontal="left" vertical="center"/>
    </xf>
    <xf numFmtId="0" fontId="2" fillId="3" borderId="4" xfId="0" applyFont="1" applyFill="1" applyBorder="1" applyAlignment="1">
      <alignment horizontal="left" vertical="center"/>
    </xf>
    <xf numFmtId="0" fontId="4" fillId="2" borderId="0" xfId="0" applyFont="1" applyFill="1" applyAlignment="1">
      <alignment horizontal="center" vertical="center"/>
    </xf>
    <xf numFmtId="0" fontId="8" fillId="7" borderId="4" xfId="0" applyFont="1" applyFill="1" applyBorder="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A7FA1"/>
      <rgbColor rgb="FFBDC3C7"/>
      <rgbColor rgb="FF888888"/>
      <rgbColor rgb="FF9999FF"/>
      <rgbColor rgb="FF993366"/>
      <rgbColor rgb="FFFFFDE7"/>
      <rgbColor rgb="FFD6EAF8"/>
      <rgbColor rgb="FF660066"/>
      <rgbColor rgb="FFFF8080"/>
      <rgbColor rgb="FF0066CC"/>
      <rgbColor rgb="FFF4F9FF"/>
      <rgbColor rgb="FF000080"/>
      <rgbColor rgb="FFFF00FF"/>
      <rgbColor rgb="FFFFFF00"/>
      <rgbColor rgb="FF00FFFF"/>
      <rgbColor rgb="FF800080"/>
      <rgbColor rgb="FF800000"/>
      <rgbColor rgb="FF2E86AB"/>
      <rgbColor rgb="FF0000FF"/>
      <rgbColor rgb="FF00CCFF"/>
      <rgbColor rgb="FFEAF4FB"/>
      <rgbColor rgb="FFD5F5E3"/>
      <rgbColor rgb="FFECF0F1"/>
      <rgbColor rgb="FFAACCEE"/>
      <rgbColor rgb="FFFF99CC"/>
      <rgbColor rgb="FFCC99FF"/>
      <rgbColor rgb="FFFADBD8"/>
      <rgbColor rgb="FF3366FF"/>
      <rgbColor rgb="FF33CCCC"/>
      <rgbColor rgb="FF99CC00"/>
      <rgbColor rgb="FFFFCC00"/>
      <rgbColor rgb="FFFF9900"/>
      <rgbColor rgb="FFFF6600"/>
      <rgbColor rgb="FF555555"/>
      <rgbColor rgb="FF969696"/>
      <rgbColor rgb="FF1A5276"/>
      <rgbColor rgb="FF2AA198"/>
      <rgbColor rgb="FF003300"/>
      <rgbColor rgb="FF1E2A38"/>
      <rgbColor rgb="FF922B21"/>
      <rgbColor rgb="FF993366"/>
      <rgbColor rgb="FF333399"/>
      <rgbColor rgb="FF253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
  <sheetViews>
    <sheetView showGridLines="0" zoomScaleNormal="100" workbookViewId="0">
      <selection activeCell="E18" sqref="E18"/>
    </sheetView>
  </sheetViews>
  <sheetFormatPr baseColWidth="10" defaultColWidth="8.7109375" defaultRowHeight="15" x14ac:dyDescent="0.25"/>
  <cols>
    <col min="1" max="1" width="16.5703125" customWidth="1"/>
    <col min="2" max="2" width="12.140625" customWidth="1"/>
    <col min="3" max="3" width="10.5703125" bestFit="1" customWidth="1"/>
    <col min="4" max="4" width="14.7109375" bestFit="1" customWidth="1"/>
    <col min="5" max="5" width="56.140625" customWidth="1"/>
    <col min="6" max="6" width="32" customWidth="1"/>
  </cols>
  <sheetData>
    <row r="1" spans="1:6" ht="33.75" customHeight="1" x14ac:dyDescent="0.25">
      <c r="A1" s="26" t="s">
        <v>0</v>
      </c>
      <c r="B1" s="26"/>
      <c r="C1" s="26"/>
      <c r="D1" s="26"/>
      <c r="E1" s="26"/>
      <c r="F1" s="26"/>
    </row>
    <row r="3" spans="1:6" x14ac:dyDescent="0.25">
      <c r="A3" s="25" t="s">
        <v>80</v>
      </c>
      <c r="B3" s="25"/>
      <c r="C3" s="25"/>
      <c r="D3" s="25"/>
      <c r="E3" s="25"/>
      <c r="F3" s="25"/>
    </row>
    <row r="4" spans="1:6" ht="19.5" customHeight="1" x14ac:dyDescent="0.25">
      <c r="A4" s="2" t="s">
        <v>1</v>
      </c>
      <c r="B4" s="2" t="s">
        <v>2</v>
      </c>
      <c r="C4" s="2" t="s">
        <v>3</v>
      </c>
      <c r="D4" s="2" t="s">
        <v>4</v>
      </c>
      <c r="E4" s="2" t="s">
        <v>5</v>
      </c>
      <c r="F4" s="2" t="s">
        <v>6</v>
      </c>
    </row>
    <row r="5" spans="1:6" ht="25.5" x14ac:dyDescent="0.25">
      <c r="A5" s="9">
        <v>0.35416666666666669</v>
      </c>
      <c r="B5" s="9">
        <v>0.375</v>
      </c>
      <c r="C5" s="4" t="str">
        <f t="shared" ref="C5:C10" si="0">IF(AND(A5&lt;&gt;"",B5&lt;&gt;""),TEXT(B5-A5,"[h]:mm"),"")</f>
        <v>0:30</v>
      </c>
      <c r="D5" s="10" t="s">
        <v>29</v>
      </c>
      <c r="E5" s="11" t="s">
        <v>31</v>
      </c>
      <c r="F5" s="11" t="s">
        <v>37</v>
      </c>
    </row>
    <row r="6" spans="1:6" ht="25.5" x14ac:dyDescent="0.25">
      <c r="A6" s="9">
        <v>0.37847222222222221</v>
      </c>
      <c r="B6" s="9">
        <v>0.40972222222222221</v>
      </c>
      <c r="C6" s="4" t="str">
        <f t="shared" si="0"/>
        <v>0:45</v>
      </c>
      <c r="D6" s="10" t="s">
        <v>30</v>
      </c>
      <c r="E6" s="11" t="s">
        <v>32</v>
      </c>
      <c r="F6" s="6"/>
    </row>
    <row r="7" spans="1:6" ht="25.5" x14ac:dyDescent="0.25">
      <c r="A7" s="9">
        <v>0.4201388888888889</v>
      </c>
      <c r="B7" s="9">
        <v>0.44791666666666669</v>
      </c>
      <c r="C7" s="4" t="str">
        <f t="shared" si="0"/>
        <v>0:40</v>
      </c>
      <c r="D7" s="10" t="s">
        <v>30</v>
      </c>
      <c r="E7" s="11" t="s">
        <v>33</v>
      </c>
      <c r="F7" s="6"/>
    </row>
    <row r="8" spans="1:6" x14ac:dyDescent="0.25">
      <c r="A8" s="9">
        <v>0.55555555555555558</v>
      </c>
      <c r="B8" s="9">
        <v>0.62152777777777779</v>
      </c>
      <c r="C8" s="4" t="str">
        <f t="shared" si="0"/>
        <v>1:35</v>
      </c>
      <c r="D8" s="10" t="s">
        <v>30</v>
      </c>
      <c r="E8" s="11" t="s">
        <v>34</v>
      </c>
      <c r="F8" s="6"/>
    </row>
    <row r="9" spans="1:6" x14ac:dyDescent="0.25">
      <c r="A9" s="9">
        <v>0.62847222222222221</v>
      </c>
      <c r="B9" s="9">
        <v>0.68055555555555558</v>
      </c>
      <c r="C9" s="4" t="str">
        <f>IF(AND(A9&lt;&gt;"",B9&lt;&gt;""),TEXT(B9-A9,"[h]:mm"),"")</f>
        <v>1:15</v>
      </c>
      <c r="D9" s="10" t="s">
        <v>30</v>
      </c>
      <c r="E9" s="11" t="s">
        <v>34</v>
      </c>
      <c r="F9" s="6"/>
    </row>
    <row r="10" spans="1:6" ht="25.5" x14ac:dyDescent="0.25">
      <c r="A10" s="9">
        <v>0.68402777777777779</v>
      </c>
      <c r="B10" s="9">
        <v>0.69444444444444442</v>
      </c>
      <c r="C10" s="4" t="str">
        <f t="shared" si="0"/>
        <v>0:15</v>
      </c>
      <c r="D10" s="10" t="s">
        <v>35</v>
      </c>
      <c r="E10" s="11" t="s">
        <v>36</v>
      </c>
      <c r="F10" s="6"/>
    </row>
    <row r="11" spans="1:6" ht="18" customHeight="1" x14ac:dyDescent="0.25">
      <c r="A11" s="22" t="s">
        <v>7</v>
      </c>
      <c r="B11" s="22"/>
      <c r="C11" s="4" t="str">
        <f>TEXT(IF(C5&lt;&gt;"",TIMEVALUE(C5),0)+IF(C6&lt;&gt;"",TIMEVALUE(C6),0)+IF(C7&lt;&gt;"",TIMEVALUE(C7),0)+IF(C8&lt;&gt;"",TIMEVALUE(C8),0)+IF(C9&lt;&gt;"",TIMEVALUE(C9),0)+IF(C10&lt;&gt;"",TIMEVALUE(C10),0),"[h]:mm")</f>
        <v>5:00</v>
      </c>
      <c r="D11" s="7"/>
      <c r="E11" s="7"/>
      <c r="F11" s="7"/>
    </row>
    <row r="12" spans="1:6" x14ac:dyDescent="0.25">
      <c r="A12" s="20"/>
      <c r="B12" s="20"/>
      <c r="C12" s="20"/>
      <c r="D12" s="20"/>
      <c r="E12" s="20"/>
      <c r="F12" s="20"/>
    </row>
    <row r="13" spans="1:6" ht="19.5" customHeight="1" x14ac:dyDescent="0.25">
      <c r="A13" s="25" t="s">
        <v>8</v>
      </c>
      <c r="B13" s="25"/>
      <c r="C13" s="25"/>
      <c r="D13" s="25"/>
      <c r="E13" s="25"/>
      <c r="F13" s="25"/>
    </row>
    <row r="14" spans="1:6" ht="19.5" customHeight="1" x14ac:dyDescent="0.25">
      <c r="A14" s="2" t="s">
        <v>1</v>
      </c>
      <c r="B14" s="2" t="s">
        <v>2</v>
      </c>
      <c r="C14" s="2" t="s">
        <v>3</v>
      </c>
      <c r="D14" s="2" t="s">
        <v>4</v>
      </c>
      <c r="E14" s="2" t="s">
        <v>5</v>
      </c>
      <c r="F14" s="2" t="s">
        <v>6</v>
      </c>
    </row>
    <row r="15" spans="1:6" ht="25.5" x14ac:dyDescent="0.25">
      <c r="A15" s="9">
        <v>0.34375</v>
      </c>
      <c r="B15" s="9">
        <v>0.35416666666666669</v>
      </c>
      <c r="C15" s="4" t="str">
        <f t="shared" ref="C15:C20" si="1">IF(AND(A15&lt;&gt;"",B15&lt;&gt;""),TEXT(B15-A15,"[h]:mm"),"")</f>
        <v>0:15</v>
      </c>
      <c r="D15" s="10" t="s">
        <v>38</v>
      </c>
      <c r="E15" s="11" t="s">
        <v>39</v>
      </c>
      <c r="F15" s="6"/>
    </row>
    <row r="16" spans="1:6" ht="25.5" x14ac:dyDescent="0.25">
      <c r="A16" s="9">
        <v>0.35416666666666669</v>
      </c>
      <c r="B16" s="9">
        <v>0.375</v>
      </c>
      <c r="C16" s="4" t="str">
        <f t="shared" si="1"/>
        <v>0:30</v>
      </c>
      <c r="D16" s="10" t="s">
        <v>30</v>
      </c>
      <c r="E16" s="11" t="s">
        <v>40</v>
      </c>
      <c r="F16" s="6"/>
    </row>
    <row r="17" spans="1:6" ht="18" customHeight="1" x14ac:dyDescent="0.25">
      <c r="A17" s="9">
        <v>0.375</v>
      </c>
      <c r="B17" s="9">
        <v>0.40972222222222221</v>
      </c>
      <c r="C17" s="4" t="str">
        <f t="shared" si="1"/>
        <v>0:50</v>
      </c>
      <c r="D17" s="10" t="s">
        <v>41</v>
      </c>
      <c r="E17" s="11" t="s">
        <v>44</v>
      </c>
      <c r="F17" s="6"/>
    </row>
    <row r="18" spans="1:6" ht="25.5" x14ac:dyDescent="0.25">
      <c r="A18" s="9">
        <v>0.4201388888888889</v>
      </c>
      <c r="B18" s="9">
        <v>0.51388888888888884</v>
      </c>
      <c r="C18" s="4" t="str">
        <f t="shared" si="1"/>
        <v>2:15</v>
      </c>
      <c r="D18" s="5" t="s">
        <v>42</v>
      </c>
      <c r="E18" s="6" t="s">
        <v>43</v>
      </c>
      <c r="F18" s="6"/>
    </row>
    <row r="19" spans="1:6" ht="18" customHeight="1" x14ac:dyDescent="0.25">
      <c r="A19" s="9">
        <v>0.51388888888888884</v>
      </c>
      <c r="B19" s="9">
        <v>0.52083333333333337</v>
      </c>
      <c r="C19" s="4" t="str">
        <f t="shared" si="1"/>
        <v>0:10</v>
      </c>
      <c r="D19" s="5" t="s">
        <v>59</v>
      </c>
      <c r="E19" s="6" t="s">
        <v>45</v>
      </c>
      <c r="F19" s="6"/>
    </row>
    <row r="20" spans="1:6" ht="18" customHeight="1" x14ac:dyDescent="0.25">
      <c r="A20" s="3"/>
      <c r="B20" s="3"/>
      <c r="C20" s="4" t="str">
        <f t="shared" si="1"/>
        <v/>
      </c>
      <c r="D20" s="5"/>
      <c r="E20" s="6"/>
      <c r="F20" s="6"/>
    </row>
    <row r="21" spans="1:6" ht="18" customHeight="1" x14ac:dyDescent="0.25">
      <c r="A21" s="22" t="s">
        <v>7</v>
      </c>
      <c r="B21" s="22"/>
      <c r="C21" s="4" t="str">
        <f>TEXT(IF(C15&lt;&gt;"",TIMEVALUE(C15),0)+IF(C16&lt;&gt;"",TIMEVALUE(C16),0)+IF(C17&lt;&gt;"",TIMEVALUE(C17),0)+IF(C18&lt;&gt;"",TIMEVALUE(C18),0)+IF(C19&lt;&gt;"",TIMEVALUE(C19),0)+IF(C20&lt;&gt;"",TIMEVALUE(C20),0),"[h]:mm")</f>
        <v>4:00</v>
      </c>
      <c r="D21" s="7"/>
      <c r="E21" s="7"/>
      <c r="F21" s="7"/>
    </row>
    <row r="22" spans="1:6" x14ac:dyDescent="0.25">
      <c r="A22" s="20"/>
      <c r="B22" s="20"/>
      <c r="C22" s="20"/>
      <c r="D22" s="20"/>
      <c r="E22" s="20"/>
      <c r="F22" s="20"/>
    </row>
    <row r="23" spans="1:6" ht="15.75" x14ac:dyDescent="0.25">
      <c r="A23" s="21" t="s">
        <v>9</v>
      </c>
      <c r="B23" s="21"/>
      <c r="C23" s="8" t="str">
        <f>TEXT(IF(C11&lt;&gt;"",TIMEVALUE(C11),0)+IF(C21&lt;&gt;"",TIMEVALUE(C21),0),"[h]:mm")</f>
        <v>9:00</v>
      </c>
      <c r="D23" s="1"/>
      <c r="E23" s="1"/>
      <c r="F23" s="1"/>
    </row>
  </sheetData>
  <mergeCells count="8">
    <mergeCell ref="A21:B21"/>
    <mergeCell ref="A22:F22"/>
    <mergeCell ref="A23:B23"/>
    <mergeCell ref="A1:F1"/>
    <mergeCell ref="A3:F3"/>
    <mergeCell ref="A11:B11"/>
    <mergeCell ref="A12:F12"/>
    <mergeCell ref="A13:F1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4"/>
  <sheetViews>
    <sheetView showGridLines="0" topLeftCell="A24" zoomScaleNormal="100" workbookViewId="0">
      <selection activeCell="D30" sqref="D30"/>
    </sheetView>
  </sheetViews>
  <sheetFormatPr baseColWidth="10" defaultColWidth="8.7109375" defaultRowHeight="15" x14ac:dyDescent="0.25"/>
  <cols>
    <col min="1" max="1" width="13.7109375" customWidth="1"/>
    <col min="2" max="2" width="14.85546875" customWidth="1"/>
    <col min="3" max="3" width="10.5703125" bestFit="1" customWidth="1"/>
    <col min="4" max="4" width="16" customWidth="1"/>
    <col min="5" max="5" width="52" customWidth="1"/>
    <col min="6" max="6" width="32" customWidth="1"/>
  </cols>
  <sheetData>
    <row r="1" spans="1:6" ht="33.75" customHeight="1" x14ac:dyDescent="0.25">
      <c r="A1" s="26" t="s">
        <v>10</v>
      </c>
      <c r="B1" s="26"/>
      <c r="C1" s="26"/>
      <c r="D1" s="26"/>
      <c r="E1" s="26"/>
      <c r="F1" s="26"/>
    </row>
    <row r="3" spans="1:6" ht="19.5" customHeight="1" x14ac:dyDescent="0.25">
      <c r="A3" s="25" t="s">
        <v>11</v>
      </c>
      <c r="B3" s="25"/>
      <c r="C3" s="25"/>
      <c r="D3" s="25"/>
      <c r="E3" s="25"/>
      <c r="F3" s="25"/>
    </row>
    <row r="4" spans="1:6" ht="33" customHeight="1" x14ac:dyDescent="0.25">
      <c r="A4" s="2" t="s">
        <v>1</v>
      </c>
      <c r="B4" s="2" t="s">
        <v>2</v>
      </c>
      <c r="C4" s="2" t="s">
        <v>3</v>
      </c>
      <c r="D4" s="2" t="s">
        <v>4</v>
      </c>
      <c r="E4" s="2" t="s">
        <v>5</v>
      </c>
      <c r="F4" s="2" t="s">
        <v>6</v>
      </c>
    </row>
    <row r="5" spans="1:6" ht="25.5" x14ac:dyDescent="0.25">
      <c r="A5" s="9">
        <v>0.34375</v>
      </c>
      <c r="B5" s="9">
        <v>0.40972222222222221</v>
      </c>
      <c r="C5" s="4" t="str">
        <f t="shared" ref="C5:C10" si="0">IF(AND(A5&lt;&gt;"",B5&lt;&gt;""),TEXT(B5-A5,"[h]:mm"),"")</f>
        <v>1:35</v>
      </c>
      <c r="D5" s="5" t="s">
        <v>42</v>
      </c>
      <c r="E5" s="6" t="s">
        <v>47</v>
      </c>
      <c r="F5" s="6"/>
    </row>
    <row r="6" spans="1:6" ht="25.5" x14ac:dyDescent="0.25">
      <c r="A6" s="9">
        <v>0.4201388888888889</v>
      </c>
      <c r="B6" s="9">
        <v>0.52083333333333337</v>
      </c>
      <c r="C6" s="4" t="str">
        <f t="shared" si="0"/>
        <v>2:25</v>
      </c>
      <c r="D6" s="5" t="s">
        <v>42</v>
      </c>
      <c r="E6" s="6" t="s">
        <v>46</v>
      </c>
      <c r="F6" s="6"/>
    </row>
    <row r="7" spans="1:6" x14ac:dyDescent="0.25">
      <c r="A7" s="9">
        <v>0.55555555555555558</v>
      </c>
      <c r="B7" s="9">
        <v>0.56944444444444442</v>
      </c>
      <c r="C7" s="4" t="str">
        <f t="shared" si="0"/>
        <v>0:20</v>
      </c>
      <c r="D7" s="10" t="s">
        <v>41</v>
      </c>
      <c r="E7" s="6" t="s">
        <v>48</v>
      </c>
      <c r="F7" s="6"/>
    </row>
    <row r="8" spans="1:6" ht="25.5" x14ac:dyDescent="0.25">
      <c r="A8" s="9">
        <v>0.57291666666666663</v>
      </c>
      <c r="B8" s="9">
        <v>0.625</v>
      </c>
      <c r="C8" s="4" t="str">
        <f t="shared" si="0"/>
        <v>1:15</v>
      </c>
      <c r="D8" s="5" t="s">
        <v>49</v>
      </c>
      <c r="E8" s="6" t="s">
        <v>50</v>
      </c>
      <c r="F8" s="6"/>
    </row>
    <row r="9" spans="1:6" ht="25.5" x14ac:dyDescent="0.25">
      <c r="A9" s="9">
        <v>0.62847222222222221</v>
      </c>
      <c r="B9" s="9">
        <v>0.68402777777777779</v>
      </c>
      <c r="C9" s="4" t="str">
        <f t="shared" si="0"/>
        <v>1:20</v>
      </c>
      <c r="D9" s="5" t="s">
        <v>49</v>
      </c>
      <c r="E9" s="6" t="s">
        <v>51</v>
      </c>
      <c r="F9" s="6"/>
    </row>
    <row r="10" spans="1:6" ht="25.5" x14ac:dyDescent="0.25">
      <c r="A10" s="9">
        <v>0.68402777777777779</v>
      </c>
      <c r="B10" s="9">
        <v>0.69444444444444442</v>
      </c>
      <c r="C10" s="4" t="str">
        <f t="shared" si="0"/>
        <v>0:15</v>
      </c>
      <c r="D10" s="5" t="s">
        <v>42</v>
      </c>
      <c r="E10" s="6" t="s">
        <v>52</v>
      </c>
      <c r="F10" s="6"/>
    </row>
    <row r="11" spans="1:6" ht="18" customHeight="1" x14ac:dyDescent="0.25">
      <c r="A11" s="22" t="s">
        <v>7</v>
      </c>
      <c r="B11" s="22"/>
      <c r="C11" s="4" t="str">
        <f>TEXT(IF(C5&lt;&gt;"",TIMEVALUE(C5),0)+IF(C6&lt;&gt;"",TIMEVALUE(C6),0)+IF(C7&lt;&gt;"",TIMEVALUE(C7),0)+IF(C8&lt;&gt;"",TIMEVALUE(C8),0)+IF(C9&lt;&gt;"",TIMEVALUE(C9),0)+IF(C10&lt;&gt;"",TIMEVALUE(C10),0),"[h]:mm")</f>
        <v>7:10</v>
      </c>
      <c r="D11" s="7"/>
      <c r="E11" s="7"/>
      <c r="F11" s="7"/>
    </row>
    <row r="12" spans="1:6" x14ac:dyDescent="0.25">
      <c r="A12" s="20"/>
      <c r="B12" s="20"/>
      <c r="C12" s="20"/>
      <c r="D12" s="20"/>
      <c r="E12" s="20"/>
      <c r="F12" s="20"/>
    </row>
    <row r="13" spans="1:6" ht="19.5" customHeight="1" x14ac:dyDescent="0.25">
      <c r="A13" s="25" t="s">
        <v>12</v>
      </c>
      <c r="B13" s="25"/>
      <c r="C13" s="25"/>
      <c r="D13" s="25"/>
      <c r="E13" s="25"/>
      <c r="F13" s="25"/>
    </row>
    <row r="14" spans="1:6" ht="32.25" customHeight="1" x14ac:dyDescent="0.25">
      <c r="A14" s="2" t="s">
        <v>1</v>
      </c>
      <c r="B14" s="2" t="s">
        <v>2</v>
      </c>
      <c r="C14" s="2" t="s">
        <v>3</v>
      </c>
      <c r="D14" s="2" t="s">
        <v>4</v>
      </c>
      <c r="E14" s="2" t="s">
        <v>5</v>
      </c>
      <c r="F14" s="2" t="s">
        <v>6</v>
      </c>
    </row>
    <row r="15" spans="1:6" ht="25.5" x14ac:dyDescent="0.25">
      <c r="A15" s="9">
        <v>0.34375</v>
      </c>
      <c r="B15" s="9">
        <v>0.39583333333333331</v>
      </c>
      <c r="C15" s="4" t="str">
        <f t="shared" ref="C15:C21" si="1">IF(AND(A15&lt;&gt;"",B15&lt;&gt;""),TEXT(B15-A15,"[h]:mm"),"")</f>
        <v>1:15</v>
      </c>
      <c r="D15" s="5" t="s">
        <v>42</v>
      </c>
      <c r="E15" s="6" t="s">
        <v>53</v>
      </c>
      <c r="F15" s="6"/>
    </row>
    <row r="16" spans="1:6" ht="25.5" x14ac:dyDescent="0.25">
      <c r="A16" s="9">
        <v>0.39930555555555558</v>
      </c>
      <c r="B16" s="9">
        <v>0.4375</v>
      </c>
      <c r="C16" s="4" t="str">
        <f t="shared" si="1"/>
        <v>0:55</v>
      </c>
      <c r="D16" s="5" t="s">
        <v>49</v>
      </c>
      <c r="E16" s="6" t="s">
        <v>54</v>
      </c>
      <c r="F16" s="6"/>
    </row>
    <row r="17" spans="1:6" ht="25.5" x14ac:dyDescent="0.25">
      <c r="A17" s="9">
        <v>0.44097222222222221</v>
      </c>
      <c r="B17" s="9">
        <v>0.52083333333333337</v>
      </c>
      <c r="C17" s="4" t="str">
        <f t="shared" si="1"/>
        <v>1:55</v>
      </c>
      <c r="D17" s="5" t="s">
        <v>49</v>
      </c>
      <c r="E17" s="6" t="s">
        <v>55</v>
      </c>
      <c r="F17" s="6"/>
    </row>
    <row r="18" spans="1:6" ht="25.5" x14ac:dyDescent="0.25">
      <c r="A18" s="9">
        <v>0.55555555555555558</v>
      </c>
      <c r="B18" s="9">
        <v>0.60416666666666663</v>
      </c>
      <c r="C18" s="4" t="str">
        <f t="shared" si="1"/>
        <v>1:10</v>
      </c>
      <c r="D18" s="5" t="s">
        <v>42</v>
      </c>
      <c r="E18" s="6" t="s">
        <v>56</v>
      </c>
      <c r="F18" s="6"/>
    </row>
    <row r="19" spans="1:6" ht="18" customHeight="1" x14ac:dyDescent="0.25">
      <c r="A19" s="9">
        <v>0.60763888888888884</v>
      </c>
      <c r="B19" s="9">
        <v>0.62152777777777779</v>
      </c>
      <c r="C19" s="4" t="str">
        <f t="shared" si="1"/>
        <v>0:20</v>
      </c>
      <c r="D19" s="5" t="s">
        <v>41</v>
      </c>
      <c r="E19" s="6" t="s">
        <v>57</v>
      </c>
      <c r="F19" s="6"/>
    </row>
    <row r="20" spans="1:6" x14ac:dyDescent="0.25">
      <c r="A20" s="9">
        <v>0.62847222222222221</v>
      </c>
      <c r="B20" s="9">
        <v>0.68055555555555558</v>
      </c>
      <c r="C20" s="4" t="str">
        <f t="shared" si="1"/>
        <v>1:15</v>
      </c>
      <c r="D20" s="5" t="s">
        <v>49</v>
      </c>
      <c r="E20" s="6" t="s">
        <v>60</v>
      </c>
      <c r="F20" s="6"/>
    </row>
    <row r="21" spans="1:6" ht="25.5" x14ac:dyDescent="0.25">
      <c r="A21" s="9">
        <v>0.68402777777777779</v>
      </c>
      <c r="B21" s="9">
        <v>0.69444444444444442</v>
      </c>
      <c r="C21" s="4" t="str">
        <f t="shared" si="1"/>
        <v>0:15</v>
      </c>
      <c r="D21" s="5" t="s">
        <v>59</v>
      </c>
      <c r="E21" s="6" t="s">
        <v>58</v>
      </c>
      <c r="F21" s="6"/>
    </row>
    <row r="22" spans="1:6" ht="18" customHeight="1" x14ac:dyDescent="0.25">
      <c r="A22" s="22" t="s">
        <v>7</v>
      </c>
      <c r="B22" s="22"/>
      <c r="C22" s="4" t="str">
        <f>TEXT(IF(C15&lt;&gt;"",TIMEVALUE(C15),0)+IF(C16&lt;&gt;"",TIMEVALUE(C16),0)+IF(C17&lt;&gt;"",TIMEVALUE(C17),0)+IF(C18&lt;&gt;"",TIMEVALUE(C18),0)+IF(C19&lt;&gt;"",TIMEVALUE(C19),0)+IF(C21&lt;&gt;"",TIMEVALUE(C21),0),"[h]:mm")</f>
        <v>5:50</v>
      </c>
      <c r="D22" s="7"/>
      <c r="E22" s="7"/>
      <c r="F22" s="7"/>
    </row>
    <row r="23" spans="1:6" x14ac:dyDescent="0.25">
      <c r="A23" s="20"/>
      <c r="B23" s="20"/>
      <c r="C23" s="20"/>
      <c r="D23" s="20"/>
      <c r="E23" s="20"/>
      <c r="F23" s="20"/>
    </row>
    <row r="24" spans="1:6" ht="19.5" customHeight="1" x14ac:dyDescent="0.25">
      <c r="A24" s="25" t="s">
        <v>13</v>
      </c>
      <c r="B24" s="25"/>
      <c r="C24" s="25"/>
      <c r="D24" s="25"/>
      <c r="E24" s="25"/>
      <c r="F24" s="25"/>
    </row>
    <row r="25" spans="1:6" ht="31.5" customHeight="1" x14ac:dyDescent="0.25">
      <c r="A25" s="2" t="s">
        <v>1</v>
      </c>
      <c r="B25" s="2" t="s">
        <v>2</v>
      </c>
      <c r="C25" s="2" t="s">
        <v>3</v>
      </c>
      <c r="D25" s="2" t="s">
        <v>4</v>
      </c>
      <c r="E25" s="2" t="s">
        <v>5</v>
      </c>
      <c r="F25" s="2" t="s">
        <v>6</v>
      </c>
    </row>
    <row r="26" spans="1:6" ht="25.5" x14ac:dyDescent="0.25">
      <c r="A26" s="9">
        <v>0.34375</v>
      </c>
      <c r="B26" s="9">
        <v>0.40972222222222221</v>
      </c>
      <c r="C26" s="4" t="str">
        <f t="shared" ref="C26:C31" si="2">IF(AND(A26&lt;&gt;"",B26&lt;&gt;""),TEXT(B26-A26,"[h]:mm"),"")</f>
        <v>1:35</v>
      </c>
      <c r="D26" s="5" t="s">
        <v>42</v>
      </c>
      <c r="E26" s="6" t="s">
        <v>61</v>
      </c>
      <c r="F26" s="6"/>
    </row>
    <row r="27" spans="1:6" ht="18" customHeight="1" x14ac:dyDescent="0.25">
      <c r="A27" s="9">
        <v>0.4201388888888889</v>
      </c>
      <c r="B27" s="9">
        <v>0.42708333333333331</v>
      </c>
      <c r="C27" s="4" t="str">
        <f t="shared" si="2"/>
        <v>0:10</v>
      </c>
      <c r="D27" s="5" t="s">
        <v>41</v>
      </c>
      <c r="E27" s="6" t="s">
        <v>57</v>
      </c>
      <c r="F27" s="6"/>
    </row>
    <row r="28" spans="1:6" ht="38.25" x14ac:dyDescent="0.25">
      <c r="A28" s="9">
        <v>0.42708333333333331</v>
      </c>
      <c r="B28" s="9">
        <v>0.44791666666666669</v>
      </c>
      <c r="C28" s="4" t="str">
        <f t="shared" si="2"/>
        <v>0:30</v>
      </c>
      <c r="D28" s="5" t="s">
        <v>62</v>
      </c>
      <c r="E28" s="6" t="s">
        <v>63</v>
      </c>
      <c r="F28" s="6" t="s">
        <v>64</v>
      </c>
    </row>
    <row r="29" spans="1:6" ht="18" customHeight="1" x14ac:dyDescent="0.25">
      <c r="A29" s="9">
        <v>0.55555555555555558</v>
      </c>
      <c r="B29" s="9">
        <v>0.69444444444444442</v>
      </c>
      <c r="C29" s="4" t="str">
        <f t="shared" si="2"/>
        <v>3:20</v>
      </c>
      <c r="D29" s="5" t="s">
        <v>62</v>
      </c>
      <c r="E29" s="6" t="s">
        <v>65</v>
      </c>
      <c r="F29" s="6"/>
    </row>
    <row r="30" spans="1:6" ht="18" customHeight="1" x14ac:dyDescent="0.25">
      <c r="A30" s="3"/>
      <c r="B30" s="3"/>
      <c r="C30" s="4" t="str">
        <f t="shared" si="2"/>
        <v/>
      </c>
      <c r="D30" s="5"/>
      <c r="E30" s="6"/>
      <c r="F30" s="6"/>
    </row>
    <row r="31" spans="1:6" ht="18" customHeight="1" x14ac:dyDescent="0.25">
      <c r="A31" s="3"/>
      <c r="B31" s="3"/>
      <c r="C31" s="4" t="str">
        <f t="shared" si="2"/>
        <v/>
      </c>
      <c r="D31" s="5"/>
      <c r="E31" s="6"/>
      <c r="F31" s="6"/>
    </row>
    <row r="32" spans="1:6" ht="18" customHeight="1" x14ac:dyDescent="0.25">
      <c r="A32" s="22" t="s">
        <v>7</v>
      </c>
      <c r="B32" s="22"/>
      <c r="C32" s="4" t="str">
        <f>TEXT(IF(C26&lt;&gt;"",TIMEVALUE(C26),0)+IF(C27&lt;&gt;"",TIMEVALUE(C27),0)+IF(C28&lt;&gt;"",TIMEVALUE(C28),0)+IF(C29&lt;&gt;"",TIMEVALUE(C29),0)+IF(C30&lt;&gt;"",TIMEVALUE(C30),0)+IF(C31&lt;&gt;"",TIMEVALUE(C31),0),"[h]:mm")</f>
        <v>5:35</v>
      </c>
      <c r="D32" s="7"/>
      <c r="E32" s="7"/>
      <c r="F32" s="7"/>
    </row>
    <row r="33" spans="1:6" x14ac:dyDescent="0.25">
      <c r="A33" s="20"/>
      <c r="B33" s="20"/>
      <c r="C33" s="20"/>
      <c r="D33" s="20"/>
      <c r="E33" s="20"/>
      <c r="F33" s="20"/>
    </row>
    <row r="34" spans="1:6" ht="19.5" customHeight="1" x14ac:dyDescent="0.25">
      <c r="A34" s="25" t="s">
        <v>14</v>
      </c>
      <c r="B34" s="25"/>
      <c r="C34" s="25"/>
      <c r="D34" s="25"/>
      <c r="E34" s="25"/>
      <c r="F34" s="25"/>
    </row>
    <row r="35" spans="1:6" ht="19.5" customHeight="1" x14ac:dyDescent="0.25">
      <c r="A35" s="2" t="s">
        <v>1</v>
      </c>
      <c r="B35" s="2" t="s">
        <v>2</v>
      </c>
      <c r="C35" s="2" t="s">
        <v>3</v>
      </c>
      <c r="D35" s="2" t="s">
        <v>4</v>
      </c>
      <c r="E35" s="2" t="s">
        <v>5</v>
      </c>
      <c r="F35" s="2" t="s">
        <v>6</v>
      </c>
    </row>
    <row r="36" spans="1:6" ht="25.5" x14ac:dyDescent="0.25">
      <c r="A36" s="9">
        <v>0.34375</v>
      </c>
      <c r="B36" s="9">
        <v>0.40972222222222221</v>
      </c>
      <c r="C36" s="4" t="str">
        <f t="shared" ref="C36:C41" si="3">IF(AND(A36&lt;&gt;"",B36&lt;&gt;""),TEXT(B36-A36,"[h]:mm"),"")</f>
        <v>1:35</v>
      </c>
      <c r="D36" s="5" t="s">
        <v>62</v>
      </c>
      <c r="E36" s="6" t="s">
        <v>66</v>
      </c>
      <c r="F36" s="6"/>
    </row>
    <row r="37" spans="1:6" ht="25.5" x14ac:dyDescent="0.25">
      <c r="A37" s="9">
        <v>0.4201388888888889</v>
      </c>
      <c r="B37" s="9">
        <v>0.4861111111111111</v>
      </c>
      <c r="C37" s="4" t="str">
        <f t="shared" si="3"/>
        <v>1:35</v>
      </c>
      <c r="D37" s="5" t="s">
        <v>42</v>
      </c>
      <c r="E37" s="6" t="s">
        <v>67</v>
      </c>
      <c r="F37" s="6"/>
    </row>
    <row r="38" spans="1:6" ht="18" customHeight="1" x14ac:dyDescent="0.25">
      <c r="A38" s="9">
        <v>0.48958333333333331</v>
      </c>
      <c r="B38" s="9">
        <v>0.5</v>
      </c>
      <c r="C38" s="4" t="str">
        <f t="shared" si="3"/>
        <v>0:15</v>
      </c>
      <c r="D38" s="5" t="s">
        <v>41</v>
      </c>
      <c r="E38" s="6" t="s">
        <v>57</v>
      </c>
      <c r="F38" s="6"/>
    </row>
    <row r="39" spans="1:6" ht="25.5" x14ac:dyDescent="0.25">
      <c r="A39" s="9">
        <v>0.5</v>
      </c>
      <c r="B39" s="9">
        <v>0.51388888888888884</v>
      </c>
      <c r="C39" s="4" t="str">
        <f t="shared" si="3"/>
        <v>0:20</v>
      </c>
      <c r="D39" s="5" t="s">
        <v>49</v>
      </c>
      <c r="E39" s="6" t="s">
        <v>68</v>
      </c>
      <c r="F39" s="6"/>
    </row>
    <row r="40" spans="1:6" x14ac:dyDescent="0.25">
      <c r="A40" s="9">
        <v>0.51388888888888884</v>
      </c>
      <c r="B40" s="9">
        <v>0.52083333333333337</v>
      </c>
      <c r="C40" s="4" t="str">
        <f t="shared" si="3"/>
        <v>0:10</v>
      </c>
      <c r="D40" s="5" t="s">
        <v>59</v>
      </c>
      <c r="E40" s="6" t="s">
        <v>69</v>
      </c>
      <c r="F40" s="6"/>
    </row>
    <row r="41" spans="1:6" ht="18" customHeight="1" x14ac:dyDescent="0.25">
      <c r="A41" s="3"/>
      <c r="B41" s="3"/>
      <c r="C41" s="4" t="str">
        <f t="shared" si="3"/>
        <v/>
      </c>
      <c r="D41" s="5"/>
      <c r="E41" s="6"/>
      <c r="F41" s="6"/>
    </row>
    <row r="42" spans="1:6" ht="18" customHeight="1" x14ac:dyDescent="0.25">
      <c r="A42" s="22" t="s">
        <v>7</v>
      </c>
      <c r="B42" s="22"/>
      <c r="C42" s="4" t="str">
        <f>TEXT(IF(C36&lt;&gt;"",TIMEVALUE(C36),0)+IF(C37&lt;&gt;"",TIMEVALUE(C37),0)+IF(C38&lt;&gt;"",TIMEVALUE(C38),0)+IF(C39&lt;&gt;"",TIMEVALUE(C39),0)+IF(C40&lt;&gt;"",TIMEVALUE(C40),0)+IF(C41&lt;&gt;"",TIMEVALUE(C41),0),"[h]:mm")</f>
        <v>3:55</v>
      </c>
      <c r="D42" s="7"/>
      <c r="E42" s="7"/>
      <c r="F42" s="7"/>
    </row>
    <row r="43" spans="1:6" x14ac:dyDescent="0.25">
      <c r="A43" s="20"/>
      <c r="B43" s="20"/>
      <c r="C43" s="20"/>
      <c r="D43" s="20"/>
      <c r="E43" s="20"/>
      <c r="F43" s="20"/>
    </row>
    <row r="44" spans="1:6" ht="24" customHeight="1" x14ac:dyDescent="0.25">
      <c r="A44" s="21" t="s">
        <v>9</v>
      </c>
      <c r="B44" s="21"/>
      <c r="C44" s="8" t="str">
        <f>TEXT(IF(C11&lt;&gt;"",TIMEVALUE(C11),0)+IF(C22&lt;&gt;"",TIMEVALUE(C22),0)+IF(C32&lt;&gt;"",TIMEVALUE(C32),0)+IF(C42&lt;&gt;"",TIMEVALUE(C42),0),"[h]:mm")</f>
        <v>22:30</v>
      </c>
      <c r="D44" s="1"/>
      <c r="E44" s="1"/>
      <c r="F44" s="1"/>
    </row>
  </sheetData>
  <mergeCells count="14">
    <mergeCell ref="A22:B22"/>
    <mergeCell ref="A23:F23"/>
    <mergeCell ref="A24:F24"/>
    <mergeCell ref="A32:B32"/>
    <mergeCell ref="A1:F1"/>
    <mergeCell ref="A3:F3"/>
    <mergeCell ref="A11:B11"/>
    <mergeCell ref="A12:F12"/>
    <mergeCell ref="A13:F13"/>
    <mergeCell ref="A33:F33"/>
    <mergeCell ref="A34:F34"/>
    <mergeCell ref="A42:B42"/>
    <mergeCell ref="A43:F43"/>
    <mergeCell ref="A44:B44"/>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3"/>
  <sheetViews>
    <sheetView showGridLines="0" topLeftCell="A28" zoomScale="85" zoomScaleNormal="85" workbookViewId="0">
      <selection activeCell="C5" sqref="C5"/>
    </sheetView>
  </sheetViews>
  <sheetFormatPr baseColWidth="10" defaultColWidth="8.7109375" defaultRowHeight="15" x14ac:dyDescent="0.25"/>
  <cols>
    <col min="1" max="3" width="10" customWidth="1"/>
    <col min="4" max="4" width="16" customWidth="1"/>
    <col min="5" max="5" width="52" customWidth="1"/>
    <col min="6" max="6" width="32" customWidth="1"/>
  </cols>
  <sheetData>
    <row r="1" spans="1:6" ht="33.75" customHeight="1" x14ac:dyDescent="0.25">
      <c r="A1" s="26" t="s">
        <v>15</v>
      </c>
      <c r="B1" s="26"/>
      <c r="C1" s="26"/>
      <c r="D1" s="26"/>
      <c r="E1" s="26"/>
      <c r="F1" s="26"/>
    </row>
    <row r="2" spans="1:6" ht="7.5" customHeight="1" x14ac:dyDescent="0.25"/>
    <row r="3" spans="1:6" ht="19.5" customHeight="1" x14ac:dyDescent="0.25">
      <c r="A3" s="25" t="s">
        <v>16</v>
      </c>
      <c r="B3" s="25"/>
      <c r="C3" s="25"/>
      <c r="D3" s="25"/>
      <c r="E3" s="25"/>
      <c r="F3" s="25"/>
    </row>
    <row r="4" spans="1:6" ht="24" x14ac:dyDescent="0.25">
      <c r="A4" s="2" t="s">
        <v>1</v>
      </c>
      <c r="B4" s="2" t="s">
        <v>2</v>
      </c>
      <c r="C4" s="2" t="s">
        <v>3</v>
      </c>
      <c r="D4" s="2" t="s">
        <v>4</v>
      </c>
      <c r="E4" s="2" t="s">
        <v>5</v>
      </c>
      <c r="F4" s="2" t="s">
        <v>6</v>
      </c>
    </row>
    <row r="5" spans="1:6" ht="25.5" x14ac:dyDescent="0.25">
      <c r="A5" s="9">
        <v>0.39583333333333331</v>
      </c>
      <c r="B5" s="9">
        <v>0.40972222222222221</v>
      </c>
      <c r="C5" s="4" t="str">
        <f t="shared" ref="C5:C10" si="0">IF(AND(A5&lt;&gt;"",B5&lt;&gt;""),TEXT(B5-A5,"[h]:mm"),"")</f>
        <v>0:20</v>
      </c>
      <c r="D5" s="5" t="s">
        <v>62</v>
      </c>
      <c r="E5" s="6" t="s">
        <v>71</v>
      </c>
      <c r="F5" s="6" t="s">
        <v>70</v>
      </c>
    </row>
    <row r="6" spans="1:6" ht="25.5" x14ac:dyDescent="0.25">
      <c r="A6" s="9">
        <v>0.4201388888888889</v>
      </c>
      <c r="B6" s="9">
        <v>0.52083333333333337</v>
      </c>
      <c r="C6" s="4" t="str">
        <f t="shared" si="0"/>
        <v>2:25</v>
      </c>
      <c r="D6" s="5" t="s">
        <v>62</v>
      </c>
      <c r="E6" s="6" t="s">
        <v>72</v>
      </c>
      <c r="F6" s="6"/>
    </row>
    <row r="7" spans="1:6" ht="38.25" x14ac:dyDescent="0.25">
      <c r="A7" s="9">
        <v>0.55555555555555558</v>
      </c>
      <c r="B7" s="9">
        <v>0.61805555555555558</v>
      </c>
      <c r="C7" s="4" t="str">
        <f t="shared" si="0"/>
        <v>1:30</v>
      </c>
      <c r="D7" s="5" t="s">
        <v>62</v>
      </c>
      <c r="E7" s="6" t="s">
        <v>73</v>
      </c>
      <c r="F7" s="6"/>
    </row>
    <row r="8" spans="1:6" ht="51" x14ac:dyDescent="0.25">
      <c r="A8" s="9">
        <v>0.62152777777777779</v>
      </c>
      <c r="B8" s="9">
        <v>0.68055555555555558</v>
      </c>
      <c r="C8" s="4" t="str">
        <f t="shared" si="0"/>
        <v>1:25</v>
      </c>
      <c r="D8" s="5" t="s">
        <v>62</v>
      </c>
      <c r="E8" s="6" t="s">
        <v>74</v>
      </c>
      <c r="F8" s="6"/>
    </row>
    <row r="9" spans="1:6" ht="18" customHeight="1" x14ac:dyDescent="0.25">
      <c r="A9" s="9">
        <v>0.68055555555555558</v>
      </c>
      <c r="B9" s="9">
        <v>0.69444444444444442</v>
      </c>
      <c r="C9" s="4" t="str">
        <f t="shared" si="0"/>
        <v>0:20</v>
      </c>
      <c r="D9" s="5" t="s">
        <v>41</v>
      </c>
      <c r="E9" s="6" t="s">
        <v>57</v>
      </c>
      <c r="F9" s="6"/>
    </row>
    <row r="10" spans="1:6" ht="18" customHeight="1" x14ac:dyDescent="0.25">
      <c r="A10" s="3"/>
      <c r="B10" s="3"/>
      <c r="C10" s="4" t="str">
        <f t="shared" si="0"/>
        <v/>
      </c>
      <c r="D10" s="5"/>
      <c r="E10" s="6"/>
      <c r="F10" s="6"/>
    </row>
    <row r="11" spans="1:6" ht="18" customHeight="1" x14ac:dyDescent="0.25">
      <c r="A11" s="22" t="s">
        <v>7</v>
      </c>
      <c r="B11" s="22"/>
      <c r="C11" s="4" t="str">
        <f>TEXT(IF(C5&lt;&gt;"",TIMEVALUE(C5),0)+IF(C6&lt;&gt;"",TIMEVALUE(C6),0)+IF(C7&lt;&gt;"",TIMEVALUE(C7),0)+IF(C8&lt;&gt;"",TIMEVALUE(C8),0)+IF(C9&lt;&gt;"",TIMEVALUE(C9),0)+IF(C10&lt;&gt;"",TIMEVALUE(C10),0),"[h]:mm")</f>
        <v>6:00</v>
      </c>
      <c r="D11" s="7"/>
      <c r="E11" s="7"/>
      <c r="F11" s="7"/>
    </row>
    <row r="12" spans="1:6" x14ac:dyDescent="0.25">
      <c r="A12" s="20"/>
      <c r="B12" s="20"/>
      <c r="C12" s="20"/>
      <c r="D12" s="20"/>
      <c r="E12" s="20"/>
      <c r="F12" s="20"/>
    </row>
    <row r="13" spans="1:6" ht="19.5" customHeight="1" x14ac:dyDescent="0.25">
      <c r="A13" s="25" t="s">
        <v>17</v>
      </c>
      <c r="B13" s="25"/>
      <c r="C13" s="25"/>
      <c r="D13" s="25"/>
      <c r="E13" s="25"/>
      <c r="F13" s="25"/>
    </row>
    <row r="14" spans="1:6" ht="24" x14ac:dyDescent="0.25">
      <c r="A14" s="2" t="s">
        <v>1</v>
      </c>
      <c r="B14" s="2" t="s">
        <v>2</v>
      </c>
      <c r="C14" s="2" t="s">
        <v>3</v>
      </c>
      <c r="D14" s="2" t="s">
        <v>4</v>
      </c>
      <c r="E14" s="2" t="s">
        <v>5</v>
      </c>
      <c r="F14" s="2" t="s">
        <v>6</v>
      </c>
    </row>
    <row r="15" spans="1:6" ht="38.25" x14ac:dyDescent="0.25">
      <c r="A15" s="12">
        <v>0.34375</v>
      </c>
      <c r="B15" s="12">
        <v>0.39583333333333331</v>
      </c>
      <c r="C15" s="4" t="str">
        <f t="shared" ref="C15:C20" si="1">IF(AND(A15&lt;&gt;"",B15&lt;&gt;""),TEXT(B15-A15,"[h]:mm"),"")</f>
        <v>1:15</v>
      </c>
      <c r="D15" s="5" t="s">
        <v>62</v>
      </c>
      <c r="E15" s="6" t="s">
        <v>75</v>
      </c>
      <c r="F15" s="6"/>
    </row>
    <row r="16" spans="1:6" ht="38.25" x14ac:dyDescent="0.25">
      <c r="A16" s="12">
        <v>0.39930555555555558</v>
      </c>
      <c r="B16" s="12">
        <v>0.4513888888888889</v>
      </c>
      <c r="C16" s="4" t="str">
        <f t="shared" si="1"/>
        <v>1:15</v>
      </c>
      <c r="D16" s="5" t="s">
        <v>62</v>
      </c>
      <c r="E16" s="6" t="s">
        <v>76</v>
      </c>
      <c r="F16" s="6"/>
    </row>
    <row r="17" spans="1:6" ht="51" x14ac:dyDescent="0.25">
      <c r="A17" s="12">
        <v>0.4513888888888889</v>
      </c>
      <c r="B17" s="12">
        <v>0.52083333333333337</v>
      </c>
      <c r="C17" s="4" t="str">
        <f t="shared" si="1"/>
        <v>1:40</v>
      </c>
      <c r="D17" s="5" t="s">
        <v>62</v>
      </c>
      <c r="E17" s="6" t="s">
        <v>77</v>
      </c>
      <c r="F17" s="6"/>
    </row>
    <row r="18" spans="1:6" ht="38.25" x14ac:dyDescent="0.25">
      <c r="A18" s="12">
        <v>0.55555555555555558</v>
      </c>
      <c r="B18" s="12">
        <v>0.62152777777777779</v>
      </c>
      <c r="C18" s="4" t="str">
        <f t="shared" si="1"/>
        <v>1:35</v>
      </c>
      <c r="D18" s="5" t="s">
        <v>62</v>
      </c>
      <c r="E18" s="6" t="s">
        <v>78</v>
      </c>
      <c r="F18" s="6"/>
    </row>
    <row r="19" spans="1:6" ht="25.5" x14ac:dyDescent="0.25">
      <c r="A19" s="12">
        <v>0.62847222222222221</v>
      </c>
      <c r="B19" s="12">
        <v>0.69097222222222221</v>
      </c>
      <c r="C19" s="4" t="str">
        <f t="shared" si="1"/>
        <v>1:30</v>
      </c>
      <c r="D19" s="5" t="s">
        <v>42</v>
      </c>
      <c r="E19" s="6" t="s">
        <v>79</v>
      </c>
      <c r="F19" s="6"/>
    </row>
    <row r="20" spans="1:6" ht="25.5" x14ac:dyDescent="0.25">
      <c r="A20" s="12">
        <v>0.69097222222222221</v>
      </c>
      <c r="B20" s="12">
        <v>0.69444444444444442</v>
      </c>
      <c r="C20" s="4" t="str">
        <f t="shared" si="1"/>
        <v>0:05</v>
      </c>
      <c r="D20" s="5" t="s">
        <v>59</v>
      </c>
      <c r="E20" s="6" t="s">
        <v>58</v>
      </c>
      <c r="F20" s="6"/>
    </row>
    <row r="21" spans="1:6" ht="18" customHeight="1" x14ac:dyDescent="0.25">
      <c r="A21" s="22" t="s">
        <v>7</v>
      </c>
      <c r="B21" s="22"/>
      <c r="C21" s="4" t="str">
        <f>TEXT(IF(C15&lt;&gt;"",TIMEVALUE(C15),0)+IF(C16&lt;&gt;"",TIMEVALUE(C16),0)+IF(C17&lt;&gt;"",TIMEVALUE(C17),0)+IF(C18&lt;&gt;"",TIMEVALUE(C18),0)+IF(C19&lt;&gt;"",TIMEVALUE(C19),0)+IF(C20&lt;&gt;"",TIMEVALUE(C20),0),"[h]:mm")</f>
        <v>7:20</v>
      </c>
      <c r="D21" s="7"/>
      <c r="E21" s="7"/>
      <c r="F21" s="7"/>
    </row>
    <row r="22" spans="1:6" x14ac:dyDescent="0.25">
      <c r="A22" s="20"/>
      <c r="B22" s="20"/>
      <c r="C22" s="20"/>
      <c r="D22" s="20"/>
      <c r="E22" s="20"/>
      <c r="F22" s="20"/>
    </row>
    <row r="23" spans="1:6" ht="19.5" customHeight="1" x14ac:dyDescent="0.25">
      <c r="A23" s="25" t="s">
        <v>18</v>
      </c>
      <c r="B23" s="25"/>
      <c r="C23" s="25"/>
      <c r="D23" s="25"/>
      <c r="E23" s="25"/>
      <c r="F23" s="25"/>
    </row>
    <row r="24" spans="1:6" ht="24" x14ac:dyDescent="0.25">
      <c r="A24" s="2" t="s">
        <v>1</v>
      </c>
      <c r="B24" s="2" t="s">
        <v>2</v>
      </c>
      <c r="C24" s="2" t="s">
        <v>3</v>
      </c>
      <c r="D24" s="2" t="s">
        <v>4</v>
      </c>
      <c r="E24" s="2" t="s">
        <v>5</v>
      </c>
      <c r="F24" s="2" t="s">
        <v>6</v>
      </c>
    </row>
    <row r="25" spans="1:6" ht="25.5" x14ac:dyDescent="0.25">
      <c r="A25" s="9">
        <v>0.34375</v>
      </c>
      <c r="B25" s="9">
        <v>0.37847222222222232</v>
      </c>
      <c r="C25" s="4" t="str">
        <f t="shared" ref="C25:C30" si="2">IF(AND(A25&lt;&gt;"",B25&lt;&gt;""),TEXT(B25-A25,"[h]:mm"),"")</f>
        <v>0:50</v>
      </c>
      <c r="D25" s="5" t="s">
        <v>62</v>
      </c>
      <c r="E25" s="6" t="s">
        <v>81</v>
      </c>
      <c r="F25" s="6"/>
    </row>
    <row r="26" spans="1:6" ht="25.5" x14ac:dyDescent="0.25">
      <c r="A26" s="9">
        <v>0.38194444444444442</v>
      </c>
      <c r="B26" s="9">
        <v>0.4201388888888889</v>
      </c>
      <c r="C26" s="4" t="str">
        <f t="shared" si="2"/>
        <v>0:55</v>
      </c>
      <c r="D26" s="5" t="s">
        <v>62</v>
      </c>
      <c r="E26" s="6" t="s">
        <v>85</v>
      </c>
      <c r="F26" s="6"/>
    </row>
    <row r="27" spans="1:6" ht="25.5" x14ac:dyDescent="0.25">
      <c r="A27" s="9">
        <v>0.4236111111111111</v>
      </c>
      <c r="B27" s="9">
        <v>0.45833333333333331</v>
      </c>
      <c r="C27" s="4" t="str">
        <f t="shared" si="2"/>
        <v>0:50</v>
      </c>
      <c r="D27" s="5" t="s">
        <v>62</v>
      </c>
      <c r="E27" s="6" t="s">
        <v>82</v>
      </c>
      <c r="F27" s="6"/>
    </row>
    <row r="28" spans="1:6" ht="25.5" x14ac:dyDescent="0.25">
      <c r="A28" s="9">
        <v>0.46180555555555558</v>
      </c>
      <c r="B28" s="9">
        <v>0.48958333333333331</v>
      </c>
      <c r="C28" s="4" t="str">
        <f t="shared" si="2"/>
        <v>0:40</v>
      </c>
      <c r="D28" s="5" t="s">
        <v>62</v>
      </c>
      <c r="E28" s="6" t="s">
        <v>83</v>
      </c>
      <c r="F28" s="6"/>
    </row>
    <row r="29" spans="1:6" ht="25.5" x14ac:dyDescent="0.25">
      <c r="A29" s="9">
        <v>0.55555555555555558</v>
      </c>
      <c r="B29" s="9">
        <v>0.62152777777777779</v>
      </c>
      <c r="C29" s="4" t="str">
        <f t="shared" si="2"/>
        <v>1:35</v>
      </c>
      <c r="D29" s="5" t="s">
        <v>62</v>
      </c>
      <c r="E29" s="6" t="s">
        <v>83</v>
      </c>
      <c r="F29" s="6"/>
    </row>
    <row r="30" spans="1:6" ht="25.5" x14ac:dyDescent="0.25">
      <c r="A30" s="9">
        <v>0.62847222222222221</v>
      </c>
      <c r="B30" s="9">
        <v>0.69444444444444442</v>
      </c>
      <c r="C30" s="4" t="str">
        <f t="shared" si="2"/>
        <v>1:35</v>
      </c>
      <c r="D30" s="5" t="s">
        <v>62</v>
      </c>
      <c r="E30" s="6" t="s">
        <v>84</v>
      </c>
      <c r="F30" s="6"/>
    </row>
    <row r="31" spans="1:6" ht="18" customHeight="1" x14ac:dyDescent="0.25">
      <c r="A31" s="22" t="s">
        <v>7</v>
      </c>
      <c r="B31" s="22"/>
      <c r="C31" s="4" t="str">
        <f>TEXT(IF(C25&lt;&gt;"",TIMEVALUE(C25),0)+IF(C26&lt;&gt;"",TIMEVALUE(C26),0)+IF(C27&lt;&gt;"",TIMEVALUE(C27),0)+IF(C28&lt;&gt;"",TIMEVALUE(C28),0)+IF(C29&lt;&gt;"",TIMEVALUE(C29),0)+IF(C30&lt;&gt;"",TIMEVALUE(C30),0),"[h]:mm")</f>
        <v>6:25</v>
      </c>
      <c r="D31" s="7"/>
      <c r="E31" s="7"/>
      <c r="F31" s="7"/>
    </row>
    <row r="32" spans="1:6" x14ac:dyDescent="0.25">
      <c r="A32" s="20"/>
      <c r="B32" s="20"/>
      <c r="C32" s="20"/>
      <c r="D32" s="20"/>
      <c r="E32" s="20"/>
      <c r="F32" s="20"/>
    </row>
    <row r="33" spans="1:6" ht="19.5" customHeight="1" x14ac:dyDescent="0.25">
      <c r="A33" s="25" t="s">
        <v>19</v>
      </c>
      <c r="B33" s="25"/>
      <c r="C33" s="25"/>
      <c r="D33" s="25"/>
      <c r="E33" s="25"/>
      <c r="F33" s="25"/>
    </row>
    <row r="34" spans="1:6" ht="24" x14ac:dyDescent="0.25">
      <c r="A34" s="2" t="s">
        <v>1</v>
      </c>
      <c r="B34" s="2" t="s">
        <v>2</v>
      </c>
      <c r="C34" s="2" t="s">
        <v>3</v>
      </c>
      <c r="D34" s="2" t="s">
        <v>4</v>
      </c>
      <c r="E34" s="2" t="s">
        <v>5</v>
      </c>
      <c r="F34" s="2" t="s">
        <v>6</v>
      </c>
    </row>
    <row r="35" spans="1:6" ht="25.5" x14ac:dyDescent="0.25">
      <c r="A35" s="9">
        <v>0.34375</v>
      </c>
      <c r="B35" s="9">
        <v>0.35416666666666669</v>
      </c>
      <c r="C35" s="4" t="str">
        <f t="shared" ref="C35:C40" si="3">IF(AND(A35&lt;&gt;"",B35&lt;&gt;""),TEXT(B35-A35,"[h]:mm"),"")</f>
        <v>0:15</v>
      </c>
      <c r="D35" s="5" t="s">
        <v>86</v>
      </c>
      <c r="E35" s="6" t="s">
        <v>87</v>
      </c>
      <c r="F35" s="6"/>
    </row>
    <row r="36" spans="1:6" ht="25.5" x14ac:dyDescent="0.25">
      <c r="A36" s="9">
        <v>0.35416666666666669</v>
      </c>
      <c r="B36" s="9">
        <v>0.40972222222222221</v>
      </c>
      <c r="C36" s="4" t="str">
        <f t="shared" si="3"/>
        <v>1:20</v>
      </c>
      <c r="D36" s="5" t="s">
        <v>62</v>
      </c>
      <c r="E36" s="6" t="s">
        <v>88</v>
      </c>
      <c r="F36" s="6"/>
    </row>
    <row r="37" spans="1:6" ht="25.5" x14ac:dyDescent="0.25">
      <c r="A37" s="9">
        <v>0.4201388888888889</v>
      </c>
      <c r="B37" s="9">
        <v>0.47222222222222221</v>
      </c>
      <c r="C37" s="4" t="str">
        <f t="shared" si="3"/>
        <v>1:15</v>
      </c>
      <c r="D37" s="5" t="s">
        <v>62</v>
      </c>
      <c r="E37" s="6" t="s">
        <v>89</v>
      </c>
      <c r="F37" s="6"/>
    </row>
    <row r="38" spans="1:6" ht="25.5" x14ac:dyDescent="0.25">
      <c r="A38" s="9">
        <v>0.47222222222222221</v>
      </c>
      <c r="B38" s="9">
        <v>0.48958333333333331</v>
      </c>
      <c r="C38" s="4" t="str">
        <f t="shared" si="3"/>
        <v>0:25</v>
      </c>
      <c r="D38" s="5" t="s">
        <v>42</v>
      </c>
      <c r="E38" s="6" t="s">
        <v>90</v>
      </c>
      <c r="F38" s="6"/>
    </row>
    <row r="39" spans="1:6" ht="25.5" x14ac:dyDescent="0.25">
      <c r="A39" s="9">
        <v>0.49305555555555558</v>
      </c>
      <c r="B39" s="9">
        <v>0.52083333333333337</v>
      </c>
      <c r="C39" s="4" t="str">
        <f t="shared" si="3"/>
        <v>0:40</v>
      </c>
      <c r="D39" s="5" t="s">
        <v>62</v>
      </c>
      <c r="E39" s="6" t="s">
        <v>91</v>
      </c>
      <c r="F39" s="6"/>
    </row>
    <row r="40" spans="1:6" ht="18" customHeight="1" x14ac:dyDescent="0.25">
      <c r="A40" s="3"/>
      <c r="B40" s="3"/>
      <c r="C40" s="4" t="str">
        <f t="shared" si="3"/>
        <v/>
      </c>
      <c r="D40" s="5"/>
      <c r="E40" s="6"/>
      <c r="F40" s="6"/>
    </row>
    <row r="41" spans="1:6" ht="18" customHeight="1" x14ac:dyDescent="0.25">
      <c r="A41" s="22" t="s">
        <v>7</v>
      </c>
      <c r="B41" s="22"/>
      <c r="C41" s="4" t="str">
        <f>TEXT(IF(C35&lt;&gt;"",TIMEVALUE(C35),0)+IF(C36&lt;&gt;"",TIMEVALUE(C36),0)+IF(C37&lt;&gt;"",TIMEVALUE(C37),0)+IF(C38&lt;&gt;"",TIMEVALUE(C38),0)+IF(C39&lt;&gt;"",TIMEVALUE(C39),0)+IF(C40&lt;&gt;"",TIMEVALUE(C40),0),"[h]:mm")</f>
        <v>3:55</v>
      </c>
      <c r="D41" s="7"/>
      <c r="E41" s="7"/>
      <c r="F41" s="7"/>
    </row>
    <row r="42" spans="1:6" x14ac:dyDescent="0.25">
      <c r="A42" s="20"/>
      <c r="B42" s="20"/>
      <c r="C42" s="20"/>
      <c r="D42" s="20"/>
      <c r="E42" s="20"/>
      <c r="F42" s="20"/>
    </row>
    <row r="43" spans="1:6" ht="24" customHeight="1" x14ac:dyDescent="0.25">
      <c r="A43" s="21" t="s">
        <v>9</v>
      </c>
      <c r="B43" s="21"/>
      <c r="C43" s="8" t="str">
        <f>TEXT(IF(C11&lt;&gt;"",TIMEVALUE(C11),0)+IF(C21&lt;&gt;"",TIMEVALUE(C21),0)+IF(C31&lt;&gt;"",TIMEVALUE(C31),0)+IF(C41&lt;&gt;"",TIMEVALUE(C41),0),"[h]:mm")</f>
        <v>23:40</v>
      </c>
      <c r="D43" s="1"/>
      <c r="E43" s="1"/>
      <c r="F43" s="1"/>
    </row>
  </sheetData>
  <mergeCells count="14">
    <mergeCell ref="A21:B21"/>
    <mergeCell ref="A22:F22"/>
    <mergeCell ref="A23:F23"/>
    <mergeCell ref="A31:B31"/>
    <mergeCell ref="A1:F1"/>
    <mergeCell ref="A3:F3"/>
    <mergeCell ref="A11:B11"/>
    <mergeCell ref="A12:F12"/>
    <mergeCell ref="A13:F13"/>
    <mergeCell ref="A32:F32"/>
    <mergeCell ref="A33:F33"/>
    <mergeCell ref="A41:B41"/>
    <mergeCell ref="A42:F42"/>
    <mergeCell ref="A43:B43"/>
  </mergeCells>
  <pageMargins left="0.25" right="0.25" top="0.75" bottom="0.75" header="0.3" footer="0.3"/>
  <pageSetup paperSize="9"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6"/>
  <sheetViews>
    <sheetView showGridLines="0" topLeftCell="A13" zoomScale="115" zoomScaleNormal="115" workbookViewId="0">
      <selection activeCell="E20" sqref="E20"/>
    </sheetView>
  </sheetViews>
  <sheetFormatPr baseColWidth="10" defaultColWidth="8.7109375" defaultRowHeight="15" x14ac:dyDescent="0.25"/>
  <cols>
    <col min="1" max="3" width="10" customWidth="1"/>
    <col min="4" max="4" width="16" customWidth="1"/>
    <col min="5" max="5" width="52" customWidth="1"/>
    <col min="6" max="6" width="32" customWidth="1"/>
  </cols>
  <sheetData>
    <row r="1" spans="1:6" ht="33.75" customHeight="1" x14ac:dyDescent="0.25">
      <c r="A1" s="26" t="s">
        <v>20</v>
      </c>
      <c r="B1" s="26"/>
      <c r="C1" s="26"/>
      <c r="D1" s="26"/>
      <c r="E1" s="26"/>
      <c r="F1" s="26"/>
    </row>
    <row r="2" spans="1:6" ht="7.5" customHeight="1" x14ac:dyDescent="0.25"/>
    <row r="3" spans="1:6" ht="19.5" customHeight="1" x14ac:dyDescent="0.25">
      <c r="A3" s="25" t="s">
        <v>21</v>
      </c>
      <c r="B3" s="25"/>
      <c r="C3" s="25"/>
      <c r="D3" s="25"/>
      <c r="E3" s="25"/>
      <c r="F3" s="25"/>
    </row>
    <row r="4" spans="1:6" ht="24" x14ac:dyDescent="0.25">
      <c r="A4" s="2" t="s">
        <v>1</v>
      </c>
      <c r="B4" s="2" t="s">
        <v>2</v>
      </c>
      <c r="C4" s="2" t="s">
        <v>3</v>
      </c>
      <c r="D4" s="2" t="s">
        <v>4</v>
      </c>
      <c r="E4" s="2" t="s">
        <v>5</v>
      </c>
      <c r="F4" s="2" t="s">
        <v>6</v>
      </c>
    </row>
    <row r="5" spans="1:6" ht="38.25" x14ac:dyDescent="0.25">
      <c r="A5" s="14">
        <v>0.34375</v>
      </c>
      <c r="B5" s="14">
        <v>0.39583333333333298</v>
      </c>
      <c r="C5" s="4" t="str">
        <f t="shared" ref="C5:C11" si="0">IF(AND(A5&lt;&gt;"",B5&lt;&gt;""),TEXT(B5-A5,"[h]:mm"),"")</f>
        <v>1:15</v>
      </c>
      <c r="D5" s="10" t="s">
        <v>92</v>
      </c>
      <c r="E5" s="11" t="s">
        <v>93</v>
      </c>
      <c r="F5" s="6"/>
    </row>
    <row r="6" spans="1:6" ht="38.25" x14ac:dyDescent="0.25">
      <c r="A6" s="14">
        <v>0.39583333333333298</v>
      </c>
      <c r="B6" s="14">
        <v>0.4375</v>
      </c>
      <c r="C6" s="4" t="str">
        <f t="shared" si="0"/>
        <v>1:00</v>
      </c>
      <c r="D6" s="10" t="s">
        <v>94</v>
      </c>
      <c r="E6" s="11" t="s">
        <v>95</v>
      </c>
      <c r="F6" s="6"/>
    </row>
    <row r="7" spans="1:6" ht="38.25" x14ac:dyDescent="0.25">
      <c r="A7" s="14">
        <v>0.4375</v>
      </c>
      <c r="B7" s="14">
        <v>0.46875</v>
      </c>
      <c r="C7" s="4" t="str">
        <f t="shared" si="0"/>
        <v>0:45</v>
      </c>
      <c r="D7" s="10" t="s">
        <v>94</v>
      </c>
      <c r="E7" s="11" t="s">
        <v>96</v>
      </c>
      <c r="F7" s="6"/>
    </row>
    <row r="8" spans="1:6" x14ac:dyDescent="0.25">
      <c r="A8" s="14">
        <v>0.55555555555555602</v>
      </c>
      <c r="B8" s="14">
        <v>0.56944444444444398</v>
      </c>
      <c r="C8" s="4" t="str">
        <f t="shared" si="0"/>
        <v>0:20</v>
      </c>
      <c r="D8" s="10" t="s">
        <v>41</v>
      </c>
      <c r="E8" s="11" t="s">
        <v>97</v>
      </c>
      <c r="F8" s="6"/>
    </row>
    <row r="9" spans="1:6" ht="25.5" x14ac:dyDescent="0.25">
      <c r="A9" s="14">
        <v>0.56944444444444398</v>
      </c>
      <c r="B9" s="14">
        <v>0.58333333333333304</v>
      </c>
      <c r="C9" s="4" t="str">
        <f t="shared" si="0"/>
        <v>0:20</v>
      </c>
      <c r="D9" s="10" t="s">
        <v>29</v>
      </c>
      <c r="E9" s="11" t="s">
        <v>98</v>
      </c>
      <c r="F9" s="6"/>
    </row>
    <row r="10" spans="1:6" ht="38.25" x14ac:dyDescent="0.25">
      <c r="A10" s="14">
        <v>0.58333333333333304</v>
      </c>
      <c r="B10" s="14">
        <v>0.62152777777777779</v>
      </c>
      <c r="C10" s="4" t="str">
        <f t="shared" si="0"/>
        <v>0:55</v>
      </c>
      <c r="D10" s="10" t="s">
        <v>92</v>
      </c>
      <c r="E10" s="11" t="s">
        <v>99</v>
      </c>
      <c r="F10" s="6"/>
    </row>
    <row r="11" spans="1:6" ht="25.5" x14ac:dyDescent="0.25">
      <c r="A11" s="13">
        <v>0.62847222222222221</v>
      </c>
      <c r="B11" s="13">
        <v>0.64583333333333337</v>
      </c>
      <c r="C11" s="4" t="str">
        <f t="shared" si="0"/>
        <v>0:25</v>
      </c>
      <c r="D11" s="10" t="s">
        <v>100</v>
      </c>
      <c r="E11" s="11" t="s">
        <v>106</v>
      </c>
      <c r="F11" s="6"/>
    </row>
    <row r="12" spans="1:6" x14ac:dyDescent="0.25">
      <c r="A12" s="22" t="s">
        <v>7</v>
      </c>
      <c r="B12" s="22"/>
      <c r="C12" s="4" t="str">
        <f>TEXT(IF(C5&lt;&gt;"",TIMEVALUE(C5),0)+IF(C6&lt;&gt;"",TIMEVALUE(C6),0)+IF(C7&lt;&gt;"",TIMEVALUE(C7),0)+IF(C8&lt;&gt;"",TIMEVALUE(C8),0)+IF(C9&lt;&gt;"",TIMEVALUE(C9),0)+IF(C10&lt;&gt;"",TIMEVALUE(C10),0),"[h]:mm")</f>
        <v>4:35</v>
      </c>
      <c r="D12" s="7"/>
      <c r="E12" s="7"/>
      <c r="F12" s="7"/>
    </row>
    <row r="13" spans="1:6" x14ac:dyDescent="0.25">
      <c r="A13" s="20"/>
      <c r="B13" s="20"/>
      <c r="C13" s="20"/>
      <c r="D13" s="20"/>
      <c r="E13" s="20"/>
      <c r="F13" s="20"/>
    </row>
    <row r="14" spans="1:6" ht="19.5" customHeight="1" x14ac:dyDescent="0.25">
      <c r="A14" s="25" t="s">
        <v>22</v>
      </c>
      <c r="B14" s="25"/>
      <c r="C14" s="25"/>
      <c r="D14" s="25"/>
      <c r="E14" s="25"/>
      <c r="F14" s="25"/>
    </row>
    <row r="15" spans="1:6" ht="24" x14ac:dyDescent="0.25">
      <c r="A15" s="2" t="s">
        <v>1</v>
      </c>
      <c r="B15" s="2" t="s">
        <v>2</v>
      </c>
      <c r="C15" s="2" t="s">
        <v>3</v>
      </c>
      <c r="D15" s="2" t="s">
        <v>4</v>
      </c>
      <c r="E15" s="2" t="s">
        <v>5</v>
      </c>
      <c r="F15" s="2" t="s">
        <v>6</v>
      </c>
    </row>
    <row r="16" spans="1:6" ht="38.25" x14ac:dyDescent="0.25">
      <c r="A16" s="15">
        <v>0.34375</v>
      </c>
      <c r="B16" s="15">
        <v>0.39583333333333298</v>
      </c>
      <c r="C16" s="4" t="str">
        <f t="shared" ref="C16:C21" si="1">IF(AND(A16&lt;&gt;"",B16&lt;&gt;""),TEXT(B16-A16,"[h]:mm"),"")</f>
        <v>1:15</v>
      </c>
      <c r="D16" s="5" t="s">
        <v>92</v>
      </c>
      <c r="E16" s="6" t="s">
        <v>101</v>
      </c>
      <c r="F16" s="6"/>
    </row>
    <row r="17" spans="1:6" ht="25.5" x14ac:dyDescent="0.25">
      <c r="A17" s="15">
        <v>0.39583333333333298</v>
      </c>
      <c r="B17" s="15">
        <v>0.4375</v>
      </c>
      <c r="C17" s="4" t="str">
        <f t="shared" si="1"/>
        <v>1:00</v>
      </c>
      <c r="D17" s="5" t="s">
        <v>92</v>
      </c>
      <c r="E17" s="6" t="s">
        <v>102</v>
      </c>
      <c r="F17" s="6"/>
    </row>
    <row r="18" spans="1:6" ht="38.25" x14ac:dyDescent="0.25">
      <c r="A18" s="15">
        <v>0.4375</v>
      </c>
      <c r="B18" s="15">
        <v>0.5</v>
      </c>
      <c r="C18" s="4" t="str">
        <f t="shared" si="1"/>
        <v>1:30</v>
      </c>
      <c r="D18" s="5" t="s">
        <v>92</v>
      </c>
      <c r="E18" s="6" t="s">
        <v>107</v>
      </c>
      <c r="F18" s="6"/>
    </row>
    <row r="19" spans="1:6" ht="38.25" x14ac:dyDescent="0.25">
      <c r="A19" s="15">
        <v>0.54166666666666696</v>
      </c>
      <c r="B19" s="15">
        <v>0.60416666666666696</v>
      </c>
      <c r="C19" s="4" t="str">
        <f t="shared" si="1"/>
        <v>1:30</v>
      </c>
      <c r="D19" s="5" t="s">
        <v>92</v>
      </c>
      <c r="E19" s="6" t="s">
        <v>103</v>
      </c>
      <c r="F19" s="6"/>
    </row>
    <row r="20" spans="1:6" ht="38.25" x14ac:dyDescent="0.25">
      <c r="A20" s="15">
        <v>0.60416666666666696</v>
      </c>
      <c r="B20" s="15">
        <v>0.64583333333333304</v>
      </c>
      <c r="C20" s="4" t="str">
        <f t="shared" si="1"/>
        <v>1:00</v>
      </c>
      <c r="D20" s="5" t="s">
        <v>94</v>
      </c>
      <c r="E20" s="6" t="s">
        <v>104</v>
      </c>
      <c r="F20" s="6"/>
    </row>
    <row r="21" spans="1:6" ht="25.5" x14ac:dyDescent="0.25">
      <c r="A21" s="15">
        <v>0.64583333333333304</v>
      </c>
      <c r="B21" s="15">
        <v>0.69444444444444398</v>
      </c>
      <c r="C21" s="4" t="str">
        <f t="shared" si="1"/>
        <v>1:10</v>
      </c>
      <c r="D21" s="5" t="s">
        <v>41</v>
      </c>
      <c r="E21" s="6" t="s">
        <v>105</v>
      </c>
      <c r="F21" s="6"/>
    </row>
    <row r="22" spans="1:6" x14ac:dyDescent="0.25">
      <c r="A22" s="22" t="s">
        <v>7</v>
      </c>
      <c r="B22" s="22"/>
      <c r="C22" s="4" t="str">
        <f>TEXT(IF(C16&lt;&gt;"",TIMEVALUE(C16),0)+IF(C17&lt;&gt;"",TIMEVALUE(C17),0)+IF(C18&lt;&gt;"",TIMEVALUE(C18),0)+IF(C19&lt;&gt;"",TIMEVALUE(C19),0)+IF(C20&lt;&gt;"",TIMEVALUE(C20),0)+IF(C21&lt;&gt;"",TIMEVALUE(C21),0),"[h]:mm")</f>
        <v>7:25</v>
      </c>
      <c r="D22" s="7"/>
      <c r="E22" s="7"/>
      <c r="F22" s="7"/>
    </row>
    <row r="23" spans="1:6" x14ac:dyDescent="0.25">
      <c r="A23" s="20"/>
      <c r="B23" s="20"/>
      <c r="C23" s="20"/>
      <c r="D23" s="20"/>
      <c r="E23" s="20"/>
      <c r="F23" s="20"/>
    </row>
    <row r="24" spans="1:6" ht="18" customHeight="1" x14ac:dyDescent="0.25">
      <c r="A24" s="27" t="s">
        <v>23</v>
      </c>
      <c r="B24" s="27"/>
      <c r="C24" s="27"/>
      <c r="D24" s="27"/>
      <c r="E24" s="27"/>
      <c r="F24" s="27"/>
    </row>
    <row r="25" spans="1:6" ht="18" customHeight="1" x14ac:dyDescent="0.25">
      <c r="A25" s="27" t="s">
        <v>24</v>
      </c>
      <c r="B25" s="27"/>
      <c r="C25" s="27"/>
      <c r="D25" s="27"/>
      <c r="E25" s="27"/>
      <c r="F25" s="27"/>
    </row>
    <row r="26" spans="1:6" ht="24" customHeight="1" x14ac:dyDescent="0.25">
      <c r="A26" s="21" t="s">
        <v>9</v>
      </c>
      <c r="B26" s="21"/>
      <c r="C26" s="8" t="str">
        <f>TEXT(IF(C12&lt;&gt;"",TIMEVALUE(C12),0)+IF(C22&lt;&gt;"",TIMEVALUE(C22),0),"[h]:mm")</f>
        <v>12:00</v>
      </c>
      <c r="D26" s="1"/>
      <c r="E26" s="1"/>
      <c r="F26" s="1"/>
    </row>
  </sheetData>
  <mergeCells count="10">
    <mergeCell ref="A1:F1"/>
    <mergeCell ref="A3:F3"/>
    <mergeCell ref="A12:B12"/>
    <mergeCell ref="A13:F13"/>
    <mergeCell ref="A14:F14"/>
    <mergeCell ref="A26:B26"/>
    <mergeCell ref="A22:B22"/>
    <mergeCell ref="A23:F23"/>
    <mergeCell ref="A24:F24"/>
    <mergeCell ref="A25:F25"/>
  </mergeCells>
  <phoneticPr fontId="11" type="noConversion"/>
  <pageMargins left="0.25" right="0.25" top="0.75" bottom="0.75" header="0.3" footer="0.3"/>
  <pageSetup paperSize="9"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3"/>
  <sheetViews>
    <sheetView showGridLines="0" tabSelected="1" zoomScale="40" zoomScaleNormal="40" workbookViewId="0">
      <selection activeCell="AD43" sqref="AD43"/>
    </sheetView>
  </sheetViews>
  <sheetFormatPr baseColWidth="10" defaultColWidth="8.7109375" defaultRowHeight="15" x14ac:dyDescent="0.25"/>
  <cols>
    <col min="1" max="3" width="10" customWidth="1"/>
    <col min="4" max="4" width="16" customWidth="1"/>
    <col min="5" max="5" width="52" customWidth="1"/>
    <col min="6" max="6" width="32" customWidth="1"/>
  </cols>
  <sheetData>
    <row r="1" spans="1:6" ht="33.75" customHeight="1" x14ac:dyDescent="0.25">
      <c r="A1" s="26" t="s">
        <v>25</v>
      </c>
      <c r="B1" s="26"/>
      <c r="C1" s="26"/>
      <c r="D1" s="26"/>
      <c r="E1" s="26"/>
      <c r="F1" s="26"/>
    </row>
    <row r="2" spans="1:6" ht="7.5" customHeight="1" x14ac:dyDescent="0.25"/>
    <row r="3" spans="1:6" ht="19.5" customHeight="1" x14ac:dyDescent="0.25">
      <c r="A3" s="25" t="s">
        <v>26</v>
      </c>
      <c r="B3" s="25"/>
      <c r="C3" s="25"/>
      <c r="D3" s="25"/>
      <c r="E3" s="25"/>
      <c r="F3" s="25"/>
    </row>
    <row r="4" spans="1:6" ht="24" x14ac:dyDescent="0.25">
      <c r="A4" s="2" t="s">
        <v>1</v>
      </c>
      <c r="B4" s="2" t="s">
        <v>2</v>
      </c>
      <c r="C4" s="2" t="s">
        <v>3</v>
      </c>
      <c r="D4" s="2" t="s">
        <v>4</v>
      </c>
      <c r="E4" s="2" t="s">
        <v>5</v>
      </c>
      <c r="F4" s="2" t="s">
        <v>6</v>
      </c>
    </row>
    <row r="5" spans="1:6" ht="38.25" x14ac:dyDescent="0.25">
      <c r="A5" s="9">
        <v>0.34375</v>
      </c>
      <c r="B5" s="9">
        <v>0.40972222222222221</v>
      </c>
      <c r="C5" s="4" t="str">
        <f t="shared" ref="C5:C10" si="0">IF(AND(A5&lt;&gt;"",B5&lt;&gt;""),TEXT(B5-A5,"[h]:mm"),"")</f>
        <v>1:35</v>
      </c>
      <c r="D5" s="17" t="s">
        <v>62</v>
      </c>
      <c r="E5" s="17" t="s">
        <v>108</v>
      </c>
      <c r="F5" s="11"/>
    </row>
    <row r="6" spans="1:6" ht="38.25" x14ac:dyDescent="0.25">
      <c r="A6" s="9">
        <v>0.4201388888888889</v>
      </c>
      <c r="B6" s="9">
        <v>0.52083333333333337</v>
      </c>
      <c r="C6" s="4" t="str">
        <f t="shared" si="0"/>
        <v>2:25</v>
      </c>
      <c r="D6" s="17" t="s">
        <v>62</v>
      </c>
      <c r="E6" s="17" t="s">
        <v>109</v>
      </c>
      <c r="F6" s="17" t="s">
        <v>110</v>
      </c>
    </row>
    <row r="7" spans="1:6" ht="25.5" x14ac:dyDescent="0.25">
      <c r="A7" s="9">
        <v>0.55555555555555558</v>
      </c>
      <c r="B7" s="9">
        <v>0.56944444444444442</v>
      </c>
      <c r="C7" s="4" t="str">
        <f t="shared" si="0"/>
        <v>0:20</v>
      </c>
      <c r="D7" s="17" t="s">
        <v>62</v>
      </c>
      <c r="E7" s="17" t="s">
        <v>111</v>
      </c>
      <c r="F7" s="11"/>
    </row>
    <row r="8" spans="1:6" ht="25.5" x14ac:dyDescent="0.25">
      <c r="A8" s="9">
        <v>0.57291666666666663</v>
      </c>
      <c r="B8" s="9">
        <v>0.625</v>
      </c>
      <c r="C8" s="4" t="str">
        <f t="shared" si="0"/>
        <v>1:15</v>
      </c>
      <c r="D8" s="17" t="s">
        <v>62</v>
      </c>
      <c r="E8" s="17" t="s">
        <v>112</v>
      </c>
      <c r="F8" s="11"/>
    </row>
    <row r="9" spans="1:6" ht="25.5" x14ac:dyDescent="0.25">
      <c r="A9" s="9">
        <v>0.62847222222222221</v>
      </c>
      <c r="B9" s="9">
        <v>0.68402777777777779</v>
      </c>
      <c r="C9" s="4" t="str">
        <f t="shared" si="0"/>
        <v>1:20</v>
      </c>
      <c r="D9" s="17" t="s">
        <v>62</v>
      </c>
      <c r="E9" s="17" t="s">
        <v>113</v>
      </c>
      <c r="F9" s="11"/>
    </row>
    <row r="10" spans="1:6" x14ac:dyDescent="0.25">
      <c r="A10" s="9">
        <v>0.68402777777777779</v>
      </c>
      <c r="B10" s="9">
        <v>0.69444444444444442</v>
      </c>
      <c r="C10" s="4" t="str">
        <f t="shared" si="0"/>
        <v>0:15</v>
      </c>
      <c r="D10" s="17" t="s">
        <v>41</v>
      </c>
      <c r="E10" s="17" t="s">
        <v>57</v>
      </c>
      <c r="F10" s="11"/>
    </row>
    <row r="11" spans="1:6" x14ac:dyDescent="0.25">
      <c r="A11" s="22" t="s">
        <v>7</v>
      </c>
      <c r="B11" s="22"/>
      <c r="C11" s="4" t="str">
        <f>TEXT(IF(C5&lt;&gt;"",TIMEVALUE(C5),0)+IF(C6&lt;&gt;"",TIMEVALUE(C6),0)+IF(C7&lt;&gt;"",TIMEVALUE(C7),0)+IF(C8&lt;&gt;"",TIMEVALUE(C8),0)+IF(C9&lt;&gt;"",TIMEVALUE(C9),0)+IF(C10&lt;&gt;"",TIMEVALUE(C10),0),"[h]:mm")</f>
        <v>7:10</v>
      </c>
      <c r="D11" s="7"/>
      <c r="E11" s="7"/>
      <c r="F11" s="7"/>
    </row>
    <row r="12" spans="1:6" x14ac:dyDescent="0.25">
      <c r="A12" s="20"/>
      <c r="B12" s="20"/>
      <c r="C12" s="20"/>
      <c r="D12" s="20"/>
      <c r="E12" s="20"/>
      <c r="F12" s="20"/>
    </row>
    <row r="13" spans="1:6" ht="19.5" customHeight="1" x14ac:dyDescent="0.25">
      <c r="A13" s="25" t="s">
        <v>27</v>
      </c>
      <c r="B13" s="25"/>
      <c r="C13" s="25"/>
      <c r="D13" s="25"/>
      <c r="E13" s="25"/>
      <c r="F13" s="25"/>
    </row>
    <row r="14" spans="1:6" ht="24" x14ac:dyDescent="0.25">
      <c r="A14" s="2" t="s">
        <v>1</v>
      </c>
      <c r="B14" s="2" t="s">
        <v>2</v>
      </c>
      <c r="C14" s="2" t="s">
        <v>3</v>
      </c>
      <c r="D14" s="2" t="s">
        <v>4</v>
      </c>
      <c r="E14" s="2" t="s">
        <v>5</v>
      </c>
      <c r="F14" s="2" t="s">
        <v>6</v>
      </c>
    </row>
    <row r="15" spans="1:6" ht="38.25" x14ac:dyDescent="0.25">
      <c r="A15" s="16">
        <v>0.34375</v>
      </c>
      <c r="B15" s="16">
        <v>0.39583333333333331</v>
      </c>
      <c r="C15" s="4" t="str">
        <f t="shared" ref="C15:C18" si="1">IF(AND(A15&lt;&gt;"",B15&lt;&gt;""),TEXT(B15-A15,"[h]:mm"),"")</f>
        <v>1:15</v>
      </c>
      <c r="D15" s="17" t="s">
        <v>62</v>
      </c>
      <c r="E15" s="17" t="s">
        <v>114</v>
      </c>
      <c r="F15" s="17" t="s">
        <v>115</v>
      </c>
    </row>
    <row r="16" spans="1:6" ht="38.25" x14ac:dyDescent="0.25">
      <c r="A16" s="16">
        <v>0.39930555555555558</v>
      </c>
      <c r="B16" s="16">
        <v>0.4375</v>
      </c>
      <c r="C16" s="4" t="str">
        <f t="shared" si="1"/>
        <v>0:55</v>
      </c>
      <c r="D16" s="17" t="s">
        <v>62</v>
      </c>
      <c r="E16" s="17" t="s">
        <v>116</v>
      </c>
      <c r="F16" s="11"/>
    </row>
    <row r="17" spans="1:6" ht="51" x14ac:dyDescent="0.25">
      <c r="A17" s="16">
        <v>0.44097222222222221</v>
      </c>
      <c r="B17" s="16">
        <v>0.52083333333333337</v>
      </c>
      <c r="C17" s="4" t="str">
        <f t="shared" si="1"/>
        <v>1:55</v>
      </c>
      <c r="D17" s="17" t="s">
        <v>62</v>
      </c>
      <c r="E17" s="17" t="s">
        <v>117</v>
      </c>
      <c r="F17" s="17" t="s">
        <v>118</v>
      </c>
    </row>
    <row r="18" spans="1:6" ht="25.5" x14ac:dyDescent="0.25">
      <c r="A18" s="16">
        <v>0.55555555555555558</v>
      </c>
      <c r="B18" s="16">
        <v>0.60416666666666663</v>
      </c>
      <c r="C18" s="4" t="str">
        <f t="shared" si="1"/>
        <v>1:10</v>
      </c>
      <c r="D18" s="17" t="s">
        <v>62</v>
      </c>
      <c r="E18" s="17" t="s">
        <v>119</v>
      </c>
      <c r="F18" s="11"/>
    </row>
    <row r="19" spans="1:6" ht="38.25" x14ac:dyDescent="0.25">
      <c r="A19" s="16">
        <v>0.60763888888888884</v>
      </c>
      <c r="B19" s="16">
        <v>0.65972222222222221</v>
      </c>
      <c r="C19" s="4" t="str">
        <f>IF(AND(A19&lt;&gt;"",B19&lt;&gt;""),TEXT(B19-A19,"[h]:mm"),"")</f>
        <v>1:15</v>
      </c>
      <c r="D19" s="17" t="s">
        <v>42</v>
      </c>
      <c r="E19" s="17" t="s">
        <v>120</v>
      </c>
      <c r="F19" s="17" t="s">
        <v>121</v>
      </c>
    </row>
    <row r="20" spans="1:6" ht="38.25" x14ac:dyDescent="0.25">
      <c r="A20" s="16">
        <v>0.65972222222222221</v>
      </c>
      <c r="B20" s="16">
        <v>0.69444444444444442</v>
      </c>
      <c r="C20" s="4" t="str">
        <f>IF(AND(A20&lt;&gt;"",B20&lt;&gt;""),TEXT(B20-A20,"[h]:mm"),"")</f>
        <v>0:50</v>
      </c>
      <c r="D20" s="17" t="s">
        <v>42</v>
      </c>
      <c r="E20" s="17" t="s">
        <v>122</v>
      </c>
      <c r="F20" s="11"/>
    </row>
    <row r="21" spans="1:6" x14ac:dyDescent="0.25">
      <c r="A21" s="22" t="s">
        <v>7</v>
      </c>
      <c r="B21" s="23"/>
      <c r="C21" s="18" t="str">
        <f>TEXT(IF(C15&lt;&gt;"",TIMEVALUE(C15),0)+IF(C16&lt;&gt;"",TIMEVALUE(C16),0)+IF(C17&lt;&gt;"",TIMEVALUE(C17),0)+IF(C18&lt;&gt;"",TIMEVALUE(C18),0)+IF(C19&lt;&gt;"",TIMEVALUE(C19),0)+IF(C20&lt;&gt;"",TIMEVALUE(C20),0),"[h]:mm")</f>
        <v>7:20</v>
      </c>
      <c r="D21" s="7"/>
      <c r="E21" s="7"/>
      <c r="F21" s="7"/>
    </row>
    <row r="22" spans="1:6" x14ac:dyDescent="0.25">
      <c r="A22" s="20"/>
      <c r="B22" s="20"/>
      <c r="C22" s="20"/>
      <c r="D22" s="20"/>
      <c r="E22" s="20"/>
      <c r="F22" s="20"/>
    </row>
    <row r="23" spans="1:6" ht="19.5" customHeight="1" x14ac:dyDescent="0.25">
      <c r="A23" s="24" t="s">
        <v>28</v>
      </c>
      <c r="B23" s="25"/>
      <c r="C23" s="25"/>
      <c r="D23" s="25"/>
      <c r="E23" s="25"/>
      <c r="F23" s="25"/>
    </row>
    <row r="24" spans="1:6" ht="24" x14ac:dyDescent="0.25">
      <c r="A24" s="2" t="s">
        <v>1</v>
      </c>
      <c r="B24" s="2" t="s">
        <v>2</v>
      </c>
      <c r="C24" s="2" t="s">
        <v>3</v>
      </c>
      <c r="D24" s="2" t="s">
        <v>4</v>
      </c>
      <c r="E24" s="2" t="s">
        <v>5</v>
      </c>
      <c r="F24" s="2" t="s">
        <v>6</v>
      </c>
    </row>
    <row r="25" spans="1:6" ht="38.25" x14ac:dyDescent="0.25">
      <c r="A25" s="19">
        <v>0.34375</v>
      </c>
      <c r="B25" s="19">
        <v>0.40972222222222199</v>
      </c>
      <c r="C25" s="4" t="str">
        <f t="shared" ref="C25:C30" si="2">IF(AND(A25&lt;&gt;"",B25&lt;&gt;""),TEXT(B25-A25,"[h]:mm"),"")</f>
        <v>1:35</v>
      </c>
      <c r="D25" s="10" t="s">
        <v>42</v>
      </c>
      <c r="E25" s="11" t="s">
        <v>128</v>
      </c>
      <c r="F25" s="11"/>
    </row>
    <row r="26" spans="1:6" ht="51" x14ac:dyDescent="0.25">
      <c r="A26" s="19">
        <v>0.42013888888888901</v>
      </c>
      <c r="B26" s="19">
        <v>0.45138888888888901</v>
      </c>
      <c r="C26" s="4" t="str">
        <f t="shared" si="2"/>
        <v>0:45</v>
      </c>
      <c r="D26" s="10" t="s">
        <v>42</v>
      </c>
      <c r="E26" s="11" t="s">
        <v>123</v>
      </c>
      <c r="F26" s="11"/>
    </row>
    <row r="27" spans="1:6" ht="63.75" x14ac:dyDescent="0.25">
      <c r="A27" s="19">
        <v>0.55555555555555602</v>
      </c>
      <c r="B27" s="19">
        <v>0.60416666666666696</v>
      </c>
      <c r="C27" s="4" t="str">
        <f t="shared" si="2"/>
        <v>1:10</v>
      </c>
      <c r="D27" s="10" t="s">
        <v>62</v>
      </c>
      <c r="E27" s="11" t="s">
        <v>124</v>
      </c>
      <c r="F27" s="11" t="s">
        <v>125</v>
      </c>
    </row>
    <row r="28" spans="1:6" ht="51" x14ac:dyDescent="0.25">
      <c r="A28" s="19">
        <v>0.60763888888888895</v>
      </c>
      <c r="B28" s="19">
        <v>0.62152777777777779</v>
      </c>
      <c r="C28" s="4" t="str">
        <f t="shared" si="2"/>
        <v>0:20</v>
      </c>
      <c r="D28" s="10" t="s">
        <v>42</v>
      </c>
      <c r="E28" s="11" t="s">
        <v>126</v>
      </c>
      <c r="F28" s="11"/>
    </row>
    <row r="29" spans="1:6" ht="25.5" x14ac:dyDescent="0.25">
      <c r="A29" s="19">
        <v>0.62847222222222221</v>
      </c>
      <c r="B29" s="19">
        <v>0.63194444444444442</v>
      </c>
      <c r="C29" s="4" t="str">
        <f t="shared" si="2"/>
        <v>0:05</v>
      </c>
      <c r="D29" s="10" t="s">
        <v>41</v>
      </c>
      <c r="E29" s="11" t="s">
        <v>127</v>
      </c>
      <c r="F29" s="11"/>
    </row>
    <row r="30" spans="1:6" x14ac:dyDescent="0.25">
      <c r="A30" s="19">
        <v>0.63194444444444442</v>
      </c>
      <c r="B30" s="19">
        <v>0.63888888888888884</v>
      </c>
      <c r="C30" s="4" t="str">
        <f t="shared" si="2"/>
        <v>0:10</v>
      </c>
      <c r="D30" s="10" t="s">
        <v>59</v>
      </c>
      <c r="E30" s="11" t="s">
        <v>129</v>
      </c>
      <c r="F30" s="11"/>
    </row>
    <row r="31" spans="1:6" ht="18" customHeight="1" x14ac:dyDescent="0.25">
      <c r="A31" s="22" t="s">
        <v>7</v>
      </c>
      <c r="B31" s="22"/>
      <c r="C31" s="4" t="str">
        <f>TEXT(IF(C25&lt;&gt;"",TIMEVALUE(C25),0)+IF(C26&lt;&gt;"",TIMEVALUE(C26),0)+IF(C27&lt;&gt;"",TIMEVALUE(C27),0)+IF(C28&lt;&gt;"",TIMEVALUE(C28),0)+IF(C29&lt;&gt;"",TIMEVALUE(C29),0)+IF(C30&lt;&gt;"",TIMEVALUE(C30),0),"[h]:mm")</f>
        <v>4:05</v>
      </c>
      <c r="D31" s="7"/>
      <c r="E31" s="7"/>
      <c r="F31" s="7"/>
    </row>
    <row r="32" spans="1:6" ht="6" customHeight="1" x14ac:dyDescent="0.25">
      <c r="A32" s="20"/>
      <c r="B32" s="20"/>
      <c r="C32" s="20"/>
      <c r="D32" s="20"/>
      <c r="E32" s="20"/>
      <c r="F32" s="20"/>
    </row>
    <row r="33" spans="1:6" ht="24" customHeight="1" x14ac:dyDescent="0.25">
      <c r="A33" s="21" t="s">
        <v>9</v>
      </c>
      <c r="B33" s="21"/>
      <c r="C33" s="8" t="str">
        <f>TEXT(IF(C11&lt;&gt;"",TIMEVALUE(C11),0)+IF(C21&lt;&gt;"",TIMEVALUE(C21),0)+IF(C31&lt;&gt;"",TIMEVALUE(C31),0),"[h]:mm")</f>
        <v>18:35</v>
      </c>
      <c r="D33" s="1"/>
      <c r="E33" s="1"/>
      <c r="F33" s="1"/>
    </row>
  </sheetData>
  <mergeCells count="11">
    <mergeCell ref="A1:F1"/>
    <mergeCell ref="A3:F3"/>
    <mergeCell ref="A11:B11"/>
    <mergeCell ref="A12:F12"/>
    <mergeCell ref="A13:F13"/>
    <mergeCell ref="A32:F32"/>
    <mergeCell ref="A33:B33"/>
    <mergeCell ref="A21:B21"/>
    <mergeCell ref="A22:F22"/>
    <mergeCell ref="A23:F23"/>
    <mergeCell ref="A31:B31"/>
  </mergeCells>
  <pageMargins left="0.25" right="0.25" top="0.75" bottom="0.75" header="0.3" footer="0.3"/>
  <pageSetup paperSize="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5</vt:i4>
      </vt:variant>
      <vt:variant>
        <vt:lpstr>Plages nommées</vt:lpstr>
      </vt:variant>
      <vt:variant>
        <vt:i4>3</vt:i4>
      </vt:variant>
    </vt:vector>
  </HeadingPairs>
  <TitlesOfParts>
    <vt:vector size="8" baseType="lpstr">
      <vt:lpstr>Semaine 1</vt:lpstr>
      <vt:lpstr>Semaine 2</vt:lpstr>
      <vt:lpstr>Semaine 3</vt:lpstr>
      <vt:lpstr>Semaine 4</vt:lpstr>
      <vt:lpstr>Semaine 5</vt:lpstr>
      <vt:lpstr>'Semaine 3'!Zone_d_impression</vt:lpstr>
      <vt:lpstr>'Semaine 4'!Zone_d_impression</vt:lpstr>
      <vt:lpstr>'Semaine 5'!Zone_d_impression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Jimmy Lam</cp:lastModifiedBy>
  <cp:revision>0</cp:revision>
  <cp:lastPrinted>2026-05-21T13:09:43Z</cp:lastPrinted>
  <dcterms:created xsi:type="dcterms:W3CDTF">2026-04-24T07:14:55Z</dcterms:created>
  <dcterms:modified xsi:type="dcterms:W3CDTF">2026-05-21T13:09:45Z</dcterms:modified>
  <dc:language>en-US</dc:language>
</cp:coreProperties>
</file>